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 defaultThemeVersion="124226"/>
  <bookViews>
    <workbookView xWindow="240" yWindow="75" windowWidth="21075" windowHeight="7995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DA37" i="1" l="1"/>
  <c r="DB38" i="1"/>
  <c r="DA36" i="1"/>
  <c r="DE38" i="1" s="1"/>
  <c r="DA35" i="1"/>
  <c r="DF38" i="1" s="1"/>
  <c r="CU37" i="1"/>
  <c r="CU36" i="1"/>
  <c r="CU35" i="1"/>
  <c r="CZ38" i="1" s="1"/>
  <c r="CT38" i="1"/>
  <c r="CS38" i="1"/>
  <c r="CQ38" i="1"/>
  <c r="CR38" i="1" s="1"/>
  <c r="CP38" i="1"/>
  <c r="CO37" i="1"/>
  <c r="CO36" i="1"/>
  <c r="CO35" i="1"/>
  <c r="CN38" i="1"/>
  <c r="CM38" i="1"/>
  <c r="CK38" i="1"/>
  <c r="CL38" i="1" s="1"/>
  <c r="CJ38" i="1"/>
  <c r="CI37" i="1"/>
  <c r="CI36" i="1"/>
  <c r="CI35" i="1"/>
  <c r="CH38" i="1"/>
  <c r="CG38" i="1"/>
  <c r="CE38" i="1"/>
  <c r="CF38" i="1" s="1"/>
  <c r="CD38" i="1"/>
  <c r="CC37" i="1"/>
  <c r="CC36" i="1"/>
  <c r="CC35" i="1"/>
  <c r="CB38" i="1"/>
  <c r="CA38" i="1"/>
  <c r="BY38" i="1"/>
  <c r="BZ38" i="1" s="1"/>
  <c r="BX38" i="1"/>
  <c r="BW37" i="1"/>
  <c r="BW35" i="1"/>
  <c r="BW36" i="1"/>
  <c r="BW34" i="1"/>
  <c r="BV38" i="1"/>
  <c r="BU38" i="1"/>
  <c r="BS38" i="1"/>
  <c r="BT38" i="1" s="1"/>
  <c r="BR38" i="1"/>
  <c r="BQ37" i="1"/>
  <c r="BQ34" i="1"/>
  <c r="BQ35" i="1"/>
  <c r="BQ36" i="1"/>
  <c r="BQ33" i="1"/>
  <c r="BP38" i="1"/>
  <c r="BO38" i="1"/>
  <c r="BM38" i="1"/>
  <c r="BL38" i="1"/>
  <c r="BN38" i="1" s="1"/>
  <c r="BK37" i="1"/>
  <c r="BK33" i="1"/>
  <c r="BK34" i="1"/>
  <c r="BK35" i="1"/>
  <c r="BK36" i="1"/>
  <c r="BK32" i="1"/>
  <c r="BJ38" i="1"/>
  <c r="BI38" i="1"/>
  <c r="BG38" i="1"/>
  <c r="BH38" i="1" s="1"/>
  <c r="BF38" i="1"/>
  <c r="BE37" i="1"/>
  <c r="BE36" i="1"/>
  <c r="BE35" i="1"/>
  <c r="BE34" i="1"/>
  <c r="BE33" i="1"/>
  <c r="BD38" i="1"/>
  <c r="BC38" i="1"/>
  <c r="BA38" i="1"/>
  <c r="BB38" i="1" s="1"/>
  <c r="AZ38" i="1"/>
  <c r="AY37" i="1"/>
  <c r="AY34" i="1"/>
  <c r="AY35" i="1"/>
  <c r="AY36" i="1"/>
  <c r="AX38" i="1"/>
  <c r="AW38" i="1"/>
  <c r="AU38" i="1"/>
  <c r="AV38" i="1" s="1"/>
  <c r="AT38" i="1"/>
  <c r="AS37" i="1"/>
  <c r="AS34" i="1"/>
  <c r="AS35" i="1"/>
  <c r="AS36" i="1"/>
  <c r="AS33" i="1"/>
  <c r="AR38" i="1"/>
  <c r="AQ38" i="1"/>
  <c r="AP38" i="1"/>
  <c r="AO38" i="1"/>
  <c r="AN38" i="1"/>
  <c r="DC38" i="1" l="1"/>
  <c r="DD38" i="1" s="1"/>
  <c r="CV38" i="1"/>
  <c r="CX38" i="1"/>
  <c r="CY38" i="1"/>
  <c r="CW38" i="1"/>
  <c r="AM37" i="1"/>
  <c r="AM36" i="1"/>
  <c r="AM35" i="1"/>
  <c r="AM34" i="1"/>
  <c r="AG37" i="1"/>
  <c r="AG36" i="1"/>
  <c r="AG35" i="1"/>
  <c r="AG34" i="1"/>
  <c r="AG33" i="1"/>
  <c r="AH38" i="1"/>
  <c r="AL38" i="1"/>
  <c r="AI38" i="1" l="1"/>
  <c r="AJ38" i="1" s="1"/>
  <c r="AK38" i="1"/>
  <c r="AA37" i="1"/>
  <c r="AA35" i="1"/>
  <c r="AA34" i="1"/>
  <c r="AA36" i="1"/>
  <c r="AF38" i="1"/>
  <c r="U37" i="1"/>
  <c r="U36" i="1"/>
  <c r="V38" i="1"/>
  <c r="U35" i="1"/>
  <c r="Z38" i="1" s="1"/>
  <c r="O37" i="1"/>
  <c r="O36" i="1"/>
  <c r="O35" i="1"/>
  <c r="P38" i="1"/>
  <c r="S38" i="1"/>
  <c r="T38" i="1"/>
  <c r="N38" i="1"/>
  <c r="M38" i="1"/>
  <c r="I37" i="1"/>
  <c r="J38" i="1" s="1"/>
  <c r="I36" i="1"/>
  <c r="K38" i="1" s="1"/>
  <c r="I35" i="1"/>
  <c r="AB38" i="1" l="1"/>
  <c r="AC38" i="1"/>
  <c r="AD38" i="1" s="1"/>
  <c r="AE38" i="1"/>
  <c r="W38" i="1"/>
  <c r="X38" i="1" s="1"/>
  <c r="Y38" i="1"/>
  <c r="Q38" i="1"/>
  <c r="R38" i="1" s="1"/>
  <c r="L38" i="1"/>
  <c r="Q6" i="2"/>
  <c r="P6" i="2"/>
  <c r="R6" i="2"/>
  <c r="M6" i="2"/>
  <c r="N6" i="2"/>
  <c r="L6" i="2"/>
  <c r="J6" i="2"/>
  <c r="I6" i="2"/>
  <c r="H6" i="2"/>
  <c r="FS17" i="1"/>
  <c r="FR17" i="1"/>
  <c r="FQ17" i="1"/>
  <c r="FP17" i="1"/>
  <c r="FO17" i="1"/>
  <c r="FN16" i="1"/>
  <c r="FN15" i="1"/>
  <c r="FN14" i="1"/>
  <c r="FM17" i="1"/>
  <c r="FL17" i="1"/>
  <c r="FK17" i="1"/>
  <c r="FJ17" i="1"/>
  <c r="FI17" i="1"/>
  <c r="FH16" i="1"/>
  <c r="FH15" i="1"/>
  <c r="FH14" i="1"/>
  <c r="FG17" i="1"/>
  <c r="FF17" i="1"/>
  <c r="FE17" i="1"/>
  <c r="FD17" i="1"/>
  <c r="FC17" i="1"/>
  <c r="FB16" i="1"/>
  <c r="FB15" i="1"/>
  <c r="FB14" i="1"/>
  <c r="FA17" i="1"/>
  <c r="EZ17" i="1"/>
  <c r="EY17" i="1"/>
  <c r="EX17" i="1"/>
  <c r="EW17" i="1"/>
  <c r="EV16" i="1"/>
  <c r="EV15" i="1"/>
  <c r="EV14" i="1"/>
  <c r="EU17" i="1"/>
  <c r="ET17" i="1"/>
  <c r="ES17" i="1"/>
  <c r="ER17" i="1"/>
  <c r="EQ17" i="1"/>
  <c r="EP16" i="1"/>
  <c r="EP15" i="1"/>
  <c r="EP14" i="1"/>
  <c r="EO17" i="1"/>
  <c r="EN17" i="1"/>
  <c r="EM17" i="1"/>
  <c r="EL17" i="1"/>
  <c r="EK17" i="1"/>
  <c r="EJ16" i="1"/>
  <c r="EJ14" i="1"/>
  <c r="EJ15" i="1"/>
  <c r="EJ13" i="1"/>
  <c r="EI17" i="1"/>
  <c r="EH17" i="1"/>
  <c r="EG17" i="1"/>
  <c r="EF17" i="1"/>
  <c r="EE17" i="1"/>
  <c r="ED16" i="1"/>
  <c r="ED13" i="1"/>
  <c r="ED14" i="1"/>
  <c r="ED15" i="1"/>
  <c r="ED12" i="1"/>
  <c r="EC17" i="1"/>
  <c r="EB17" i="1"/>
  <c r="EA17" i="1"/>
  <c r="DZ17" i="1"/>
  <c r="DY17" i="1"/>
  <c r="DX16" i="1"/>
  <c r="DX14" i="1"/>
  <c r="DX15" i="1"/>
  <c r="DX13" i="1"/>
  <c r="DW17" i="1"/>
  <c r="DV17" i="1"/>
  <c r="DU17" i="1"/>
  <c r="DT17" i="1"/>
  <c r="DS17" i="1"/>
  <c r="DR16" i="1"/>
  <c r="DR15" i="1"/>
  <c r="DR14" i="1"/>
  <c r="DQ17" i="1"/>
  <c r="DP17" i="1"/>
  <c r="DO17" i="1"/>
  <c r="DN17" i="1"/>
  <c r="DM17" i="1"/>
  <c r="DL16" i="1"/>
  <c r="DL15" i="1"/>
  <c r="DL14" i="1"/>
  <c r="DK17" i="1"/>
  <c r="DJ17" i="1"/>
  <c r="DI17" i="1"/>
  <c r="DH17" i="1"/>
  <c r="DG17" i="1"/>
  <c r="DF16" i="1"/>
  <c r="DF15" i="1"/>
  <c r="DF14" i="1"/>
  <c r="DE17" i="1"/>
  <c r="DD17" i="1"/>
  <c r="DC17" i="1"/>
  <c r="DB17" i="1"/>
  <c r="DA17" i="1"/>
  <c r="CZ16" i="1"/>
  <c r="CZ15" i="1"/>
  <c r="CZ14" i="1"/>
  <c r="CY17" i="1"/>
  <c r="CX17" i="1"/>
  <c r="CW17" i="1"/>
  <c r="CV17" i="1"/>
  <c r="CU17" i="1"/>
  <c r="CT16" i="1"/>
  <c r="CT15" i="1"/>
  <c r="CT14" i="1"/>
  <c r="CS17" i="1"/>
  <c r="CR17" i="1"/>
  <c r="CQ17" i="1"/>
  <c r="CP17" i="1"/>
  <c r="CO17" i="1"/>
  <c r="CN16" i="1"/>
  <c r="CN15" i="1"/>
  <c r="CN14" i="1"/>
  <c r="CM17" i="1"/>
  <c r="CL17" i="1"/>
  <c r="CK17" i="1"/>
  <c r="CJ17" i="1"/>
  <c r="CI17" i="1"/>
  <c r="CH16" i="1"/>
  <c r="CH15" i="1"/>
  <c r="CH14" i="1"/>
  <c r="CG17" i="1"/>
  <c r="CF17" i="1"/>
  <c r="CE17" i="1"/>
  <c r="CD17" i="1"/>
  <c r="CC17" i="1"/>
  <c r="CB16" i="1"/>
  <c r="CB15" i="1"/>
  <c r="CB14" i="1"/>
  <c r="CA17" i="1"/>
  <c r="BZ17" i="1"/>
  <c r="BY17" i="1"/>
  <c r="BX17" i="1"/>
  <c r="BW17" i="1"/>
  <c r="BV16" i="1"/>
  <c r="BV15" i="1"/>
  <c r="BV14" i="1"/>
  <c r="BU17" i="1"/>
  <c r="BT17" i="1"/>
  <c r="BS17" i="1"/>
  <c r="BR17" i="1"/>
  <c r="BQ17" i="1"/>
  <c r="BP16" i="1"/>
  <c r="BP14" i="1"/>
  <c r="BP15" i="1"/>
  <c r="BP13" i="1"/>
  <c r="BO17" i="1"/>
  <c r="BN17" i="1"/>
  <c r="BM17" i="1"/>
  <c r="BL17" i="1"/>
  <c r="BK17" i="1"/>
  <c r="BJ16" i="1"/>
  <c r="BJ13" i="1"/>
  <c r="BJ14" i="1"/>
  <c r="BJ15" i="1"/>
  <c r="BJ12" i="1"/>
  <c r="BI17" i="1"/>
  <c r="BH17" i="1"/>
  <c r="BG17" i="1"/>
  <c r="BF17" i="1"/>
  <c r="BE17" i="1"/>
  <c r="BD16" i="1"/>
  <c r="BD14" i="1"/>
  <c r="BD15" i="1"/>
  <c r="BD13" i="1"/>
  <c r="BC17" i="1"/>
  <c r="BB17" i="1"/>
  <c r="BA17" i="1"/>
  <c r="AZ17" i="1"/>
  <c r="AY17" i="1"/>
  <c r="AX16" i="1"/>
  <c r="AX15" i="1"/>
  <c r="AX14" i="1"/>
  <c r="AW17" i="1"/>
  <c r="AV17" i="1"/>
  <c r="AU17" i="1"/>
  <c r="AT17" i="1"/>
  <c r="AS17" i="1"/>
  <c r="AR16" i="1"/>
  <c r="AR14" i="1"/>
  <c r="AR15" i="1"/>
  <c r="AR13" i="1"/>
  <c r="AQ17" i="1"/>
  <c r="AP17" i="1"/>
  <c r="AO17" i="1"/>
  <c r="AN17" i="1"/>
  <c r="AM17" i="1"/>
  <c r="AL16" i="1"/>
  <c r="AL15" i="1"/>
  <c r="AL14" i="1"/>
  <c r="AK17" i="1"/>
  <c r="AJ17" i="1"/>
  <c r="AI17" i="1"/>
  <c r="AH17" i="1"/>
  <c r="AG17" i="1"/>
  <c r="AF16" i="1"/>
  <c r="AF14" i="1"/>
  <c r="AF15" i="1"/>
  <c r="AF13" i="1"/>
  <c r="AE17" i="1"/>
  <c r="AD17" i="1"/>
  <c r="AC17" i="1"/>
  <c r="AB17" i="1"/>
  <c r="AA17" i="1"/>
  <c r="Z16" i="1"/>
  <c r="Z15" i="1"/>
  <c r="Z14" i="1"/>
  <c r="Y17" i="1"/>
  <c r="X17" i="1"/>
  <c r="W17" i="1"/>
  <c r="V17" i="1"/>
  <c r="U17" i="1"/>
  <c r="T16" i="1"/>
  <c r="T15" i="1"/>
  <c r="T14" i="1"/>
  <c r="S17" i="1"/>
  <c r="R17" i="1"/>
  <c r="P17" i="1"/>
  <c r="Q17" i="1"/>
  <c r="O17" i="1"/>
  <c r="N16" i="1"/>
  <c r="N15" i="1"/>
  <c r="N14" i="1"/>
  <c r="H15" i="1"/>
  <c r="M17" i="1"/>
  <c r="H16" i="1"/>
  <c r="H17" i="1"/>
  <c r="H14" i="1"/>
  <c r="J17" i="1"/>
  <c r="CS9" i="1"/>
  <c r="CR9" i="1"/>
  <c r="CQ9" i="1"/>
  <c r="CP9" i="1"/>
  <c r="CO9" i="1"/>
  <c r="CN9" i="1"/>
  <c r="CN8" i="1"/>
  <c r="CN7" i="1"/>
  <c r="CN6" i="1"/>
  <c r="CM9" i="1"/>
  <c r="CL9" i="1"/>
  <c r="CK9" i="1"/>
  <c r="CJ9" i="1"/>
  <c r="CI9" i="1"/>
  <c r="CH9" i="1"/>
  <c r="CH6" i="1"/>
  <c r="CH7" i="1"/>
  <c r="CH8" i="1"/>
  <c r="CH5" i="1"/>
  <c r="CG9" i="1"/>
  <c r="CF9" i="1"/>
  <c r="CD9" i="1"/>
  <c r="CC9" i="1"/>
  <c r="CE9" i="1"/>
  <c r="CB9" i="1"/>
  <c r="CB7" i="1"/>
  <c r="CB8" i="1"/>
  <c r="CB6" i="1"/>
  <c r="CA9" i="1"/>
  <c r="BZ9" i="1"/>
  <c r="BY9" i="1"/>
  <c r="BX9" i="1"/>
  <c r="BW9" i="1"/>
  <c r="BV8" i="1"/>
  <c r="BV7" i="1"/>
  <c r="BV6" i="1"/>
  <c r="FN9" i="1"/>
  <c r="FH9" i="1"/>
  <c r="FN8" i="1"/>
  <c r="FB9" i="1"/>
  <c r="EV9" i="1"/>
  <c r="FB8" i="1"/>
  <c r="FH8" i="1"/>
  <c r="FN7" i="1"/>
  <c r="EP9" i="1"/>
  <c r="EP8" i="1"/>
  <c r="EV8" i="1"/>
  <c r="FB7" i="1"/>
  <c r="EJ9" i="1"/>
  <c r="EJ8" i="1"/>
  <c r="EP7" i="1"/>
  <c r="EJ7" i="1"/>
  <c r="EP6" i="1"/>
  <c r="ED9" i="1"/>
  <c r="ED8" i="1"/>
  <c r="ED7" i="1"/>
  <c r="EE9" i="1"/>
  <c r="ED6" i="1"/>
  <c r="EJ6" i="1"/>
  <c r="EC9" i="1"/>
  <c r="EB9" i="1"/>
  <c r="DZ9" i="1"/>
  <c r="DY9" i="1"/>
  <c r="DX9" i="1"/>
  <c r="DX8" i="1"/>
  <c r="DX7" i="1"/>
  <c r="DX6" i="1"/>
  <c r="BP5" i="1"/>
  <c r="BP6" i="1"/>
  <c r="BU9" i="1"/>
  <c r="BP7" i="1"/>
  <c r="BQ9" i="1"/>
  <c r="BP8" i="1"/>
  <c r="BP9" i="1"/>
  <c r="BO9" i="1"/>
  <c r="BN9" i="1"/>
  <c r="BL9" i="1"/>
  <c r="BK9" i="1"/>
  <c r="BM9" i="1"/>
  <c r="BJ9" i="1"/>
  <c r="BJ5" i="1"/>
  <c r="BJ6" i="1"/>
  <c r="BJ7" i="1"/>
  <c r="BJ8" i="1"/>
  <c r="BJ4" i="1"/>
  <c r="BD9" i="1"/>
  <c r="BD6" i="1"/>
  <c r="BD5" i="1"/>
  <c r="AX7" i="1"/>
  <c r="BC9" i="1"/>
  <c r="AX6" i="1"/>
  <c r="AX8" i="1"/>
  <c r="BD7" i="1"/>
  <c r="AX9" i="1"/>
  <c r="BD8" i="1"/>
  <c r="AW9" i="1"/>
  <c r="AV9" i="1"/>
  <c r="AT9" i="1"/>
  <c r="AS9" i="1"/>
  <c r="AU9" i="1"/>
  <c r="AR9" i="1"/>
  <c r="AR6" i="1"/>
  <c r="AR7" i="1"/>
  <c r="AR8" i="1"/>
  <c r="AR5" i="1"/>
  <c r="AQ9" i="1"/>
  <c r="AP9" i="1"/>
  <c r="AN9" i="1"/>
  <c r="AO9" i="1"/>
  <c r="AM9" i="1"/>
  <c r="AL9" i="1"/>
  <c r="AL8" i="1"/>
  <c r="AL7" i="1"/>
  <c r="AL6" i="1"/>
  <c r="AK9" i="1"/>
  <c r="AJ9" i="1"/>
  <c r="AH9" i="1"/>
  <c r="AG9" i="1"/>
  <c r="AI9" i="1"/>
  <c r="AF9" i="1"/>
  <c r="AF6" i="1"/>
  <c r="AF7" i="1"/>
  <c r="AF8" i="1"/>
  <c r="AF5" i="1"/>
  <c r="AB9" i="1"/>
  <c r="AA9" i="1"/>
  <c r="V9" i="1"/>
  <c r="U9" i="1"/>
  <c r="P9" i="1"/>
  <c r="O9" i="1"/>
  <c r="J9" i="1"/>
  <c r="I9" i="1"/>
  <c r="Z9" i="1"/>
  <c r="T9" i="1"/>
  <c r="Z8" i="1"/>
  <c r="N9" i="1"/>
  <c r="T8" i="1"/>
  <c r="Z7" i="1"/>
  <c r="H7" i="1"/>
  <c r="M9" i="1"/>
  <c r="H8" i="1"/>
  <c r="N7" i="1"/>
  <c r="H9" i="1"/>
  <c r="N8" i="1"/>
  <c r="T7" i="1"/>
  <c r="H6" i="1"/>
  <c r="N6" i="1"/>
  <c r="EK9" i="1"/>
  <c r="EA9" i="1"/>
  <c r="BR9" i="1"/>
  <c r="BS9" i="1"/>
  <c r="BT9" i="1"/>
  <c r="BI9" i="1"/>
  <c r="BH9" i="1"/>
  <c r="BF9" i="1"/>
  <c r="BE9" i="1"/>
  <c r="AY9" i="1"/>
  <c r="BA9" i="1"/>
  <c r="BB9" i="1"/>
  <c r="AZ9" i="1"/>
  <c r="T6" i="1"/>
  <c r="Y9" i="1"/>
  <c r="S9" i="1"/>
  <c r="R9" i="1"/>
  <c r="K9" i="1"/>
  <c r="L9" i="1"/>
  <c r="Q9" i="1"/>
  <c r="BG9" i="1"/>
  <c r="X9" i="1"/>
  <c r="W9" i="1"/>
  <c r="Z6" i="1"/>
  <c r="AC9" i="1"/>
  <c r="AD9" i="1"/>
  <c r="AE9" i="1"/>
  <c r="EQ9" i="1"/>
  <c r="ES9" i="1"/>
  <c r="ET9" i="1"/>
  <c r="ER9" i="1"/>
  <c r="EO9" i="1"/>
  <c r="EN9" i="1"/>
  <c r="EP5" i="1"/>
  <c r="EV6" i="1"/>
  <c r="EL9" i="1"/>
  <c r="EM9" i="1"/>
  <c r="EU9" i="1"/>
  <c r="FC9" i="1"/>
  <c r="EF9" i="1"/>
  <c r="EG9" i="1"/>
  <c r="EH9" i="1"/>
  <c r="EI9" i="1"/>
  <c r="EV7" i="1"/>
  <c r="EZ9" i="1"/>
  <c r="EW9" i="1"/>
  <c r="EY9" i="1"/>
  <c r="FB6" i="1"/>
  <c r="EX9" i="1"/>
  <c r="FB5" i="1"/>
  <c r="FH6" i="1"/>
  <c r="FA9" i="1"/>
  <c r="FN6" i="1"/>
  <c r="FD9" i="1"/>
  <c r="FE9" i="1"/>
  <c r="FG9" i="1"/>
  <c r="FH7" i="1"/>
  <c r="FF9" i="1"/>
  <c r="FL9" i="1"/>
  <c r="FI9" i="1"/>
  <c r="FJ9" i="1"/>
  <c r="FM9" i="1"/>
  <c r="FK9" i="1"/>
  <c r="L17" i="1"/>
  <c r="I17" i="1"/>
  <c r="K17" i="1"/>
</calcChain>
</file>

<file path=xl/sharedStrings.xml><?xml version="1.0" encoding="utf-8"?>
<sst xmlns="http://schemas.openxmlformats.org/spreadsheetml/2006/main" count="401" uniqueCount="37">
  <si>
    <t>хвост</t>
  </si>
  <si>
    <t>стекает</t>
  </si>
  <si>
    <t>перетекает на 6</t>
  </si>
  <si>
    <t>перетекает на 8</t>
  </si>
  <si>
    <t>перетекает на 10</t>
  </si>
  <si>
    <t>петретекает на 13</t>
  </si>
  <si>
    <t>перетекает на 16</t>
  </si>
  <si>
    <t>стекает (окончательно)</t>
  </si>
  <si>
    <t>перетекает на 19</t>
  </si>
  <si>
    <t>стекает окончательно</t>
  </si>
  <si>
    <t>перетекает на 23</t>
  </si>
  <si>
    <t>A</t>
  </si>
  <si>
    <t>B</t>
  </si>
  <si>
    <t>C</t>
  </si>
  <si>
    <t>D</t>
  </si>
  <si>
    <t>B-C</t>
  </si>
  <si>
    <t>A-B</t>
  </si>
  <si>
    <t>Размах</t>
  </si>
  <si>
    <t>ЦиклA-B</t>
  </si>
  <si>
    <t>ОбознТ</t>
  </si>
  <si>
    <t>Среднее</t>
  </si>
  <si>
    <t>|B-C|&gt;=|A-B| ?</t>
  </si>
  <si>
    <t>von hier</t>
  </si>
  <si>
    <t>+</t>
  </si>
  <si>
    <t>проверяем остаток стека!</t>
  </si>
  <si>
    <t>N</t>
  </si>
  <si>
    <t>!!!!!!!!!</t>
  </si>
  <si>
    <t>^^^^^^^</t>
  </si>
  <si>
    <t>+++++++</t>
  </si>
  <si>
    <t>|A-B|</t>
  </si>
  <si>
    <t>|B-C|</t>
  </si>
  <si>
    <t>Неовая версия (кажется в предыдущей я пропустил и не те сноситл из исходных данных)</t>
  </si>
  <si>
    <t>докончить!</t>
  </si>
  <si>
    <t>последний еще не закрытый экстремум</t>
  </si>
  <si>
    <t>кандидат на закрытие</t>
  </si>
  <si>
    <t>новая нагрузка, проверяющая закрытие</t>
  </si>
  <si>
    <t>dataN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</si>
</sst>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quotePrefix="1"/>
    <xf numFmtId="0" fontId="0" fillId="0" borderId="5" xfId="0" applyBorder="1"/>
    <xf numFmtId="0" fontId="0" fillId="0" borderId="0" xfId="0" applyFill="1" applyBorder="1"/>
    <xf numFmtId="0" fontId="0" fillId="0" borderId="0" xfId="0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Лист1!$F$14:$F$16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Лист1!$T$14:$T$16</c:f>
              <c:numCache>
                <c:formatCode>General</c:formatCode>
                <c:ptCount val="3"/>
                <c:pt idx="0">
                  <c:v>-3.04</c:v>
                </c:pt>
                <c:pt idx="1">
                  <c:v>-16.12</c:v>
                </c:pt>
                <c:pt idx="2">
                  <c:v>38.630000000000003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21344"/>
        <c:axId val="146922880"/>
      </c:scatterChart>
      <c:valAx>
        <c:axId val="14692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46922880"/>
        <c:crosses val="autoZero"/>
        <c:crossBetween val="midCat"/>
      </c:valAx>
      <c:valAx>
        <c:axId val="146922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69213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Лист1!$F$14:$F$16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Лист1!$Z$14:$Z$16</c:f>
              <c:numCache>
                <c:formatCode>General</c:formatCode>
                <c:ptCount val="3"/>
                <c:pt idx="0">
                  <c:v>-3.04</c:v>
                </c:pt>
                <c:pt idx="1">
                  <c:v>38.630000000000003</c:v>
                </c:pt>
                <c:pt idx="2">
                  <c:v>26.17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12608"/>
        <c:axId val="147018496"/>
      </c:scatterChart>
      <c:valAx>
        <c:axId val="14701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47018496"/>
        <c:crosses val="autoZero"/>
        <c:crossBetween val="midCat"/>
      </c:valAx>
      <c:valAx>
        <c:axId val="147018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0126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Лист1!$F$14:$F$16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Лист1!$AF$14:$AF$16</c:f>
              <c:numCache>
                <c:formatCode>General</c:formatCode>
                <c:ptCount val="3"/>
                <c:pt idx="0">
                  <c:v>38.630000000000003</c:v>
                </c:pt>
                <c:pt idx="1">
                  <c:v>26.17</c:v>
                </c:pt>
                <c:pt idx="2">
                  <c:v>38.630000000000003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46784"/>
        <c:axId val="147048320"/>
      </c:scatterChart>
      <c:valAx>
        <c:axId val="14704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47048320"/>
        <c:crosses val="autoZero"/>
        <c:crossBetween val="midCat"/>
      </c:valAx>
      <c:valAx>
        <c:axId val="147048320"/>
        <c:scaling>
          <c:orientation val="minMax"/>
          <c:min val="-1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0467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Лист1!$F$14:$F$16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Лист1!$AL$14:$AL$16</c:f>
              <c:numCache>
                <c:formatCode>General</c:formatCode>
                <c:ptCount val="3"/>
                <c:pt idx="0">
                  <c:v>-3.04</c:v>
                </c:pt>
                <c:pt idx="1">
                  <c:v>38.630000000000003</c:v>
                </c:pt>
                <c:pt idx="2">
                  <c:v>38.630000000000003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58048"/>
        <c:axId val="148972672"/>
      </c:scatterChart>
      <c:valAx>
        <c:axId val="14705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48972672"/>
        <c:crosses val="autoZero"/>
        <c:crossBetween val="midCat"/>
      </c:valAx>
      <c:valAx>
        <c:axId val="148972672"/>
        <c:scaling>
          <c:orientation val="minMax"/>
          <c:min val="-1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0580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Лист1!$F$14:$F$16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Лист1!$AR$14:$AR$16</c:f>
              <c:numCache>
                <c:formatCode>General</c:formatCode>
                <c:ptCount val="3"/>
                <c:pt idx="0">
                  <c:v>38.630000000000003</c:v>
                </c:pt>
                <c:pt idx="1">
                  <c:v>38.630000000000003</c:v>
                </c:pt>
                <c:pt idx="2">
                  <c:v>5.0999999999999996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84192"/>
        <c:axId val="148985728"/>
      </c:scatterChart>
      <c:valAx>
        <c:axId val="14898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48985728"/>
        <c:crosses val="autoZero"/>
        <c:crossBetween val="midCat"/>
      </c:valAx>
      <c:valAx>
        <c:axId val="148985728"/>
        <c:scaling>
          <c:orientation val="minMax"/>
          <c:min val="-1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9841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Лист1!$F$14:$F$16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Лист1!$AX$14:$AX$16</c:f>
              <c:numCache>
                <c:formatCode>General</c:formatCode>
                <c:ptCount val="3"/>
                <c:pt idx="0">
                  <c:v>-3.04</c:v>
                </c:pt>
                <c:pt idx="1">
                  <c:v>38.630000000000003</c:v>
                </c:pt>
                <c:pt idx="2">
                  <c:v>5.0999999999999996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02112"/>
        <c:axId val="149003648"/>
      </c:scatterChart>
      <c:valAx>
        <c:axId val="149002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49003648"/>
        <c:crosses val="autoZero"/>
        <c:crossBetween val="midCat"/>
      </c:valAx>
      <c:valAx>
        <c:axId val="149003648"/>
        <c:scaling>
          <c:orientation val="minMax"/>
          <c:min val="-1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0021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Лист1!$F$14:$F$16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Лист1!$BD$14:$BD$16</c:f>
              <c:numCache>
                <c:formatCode>General</c:formatCode>
                <c:ptCount val="3"/>
                <c:pt idx="0">
                  <c:v>38.630000000000003</c:v>
                </c:pt>
                <c:pt idx="1">
                  <c:v>5.0999999999999996</c:v>
                </c:pt>
                <c:pt idx="2">
                  <c:v>15.56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53184"/>
        <c:axId val="149031552"/>
      </c:scatterChart>
      <c:valAx>
        <c:axId val="14705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49031552"/>
        <c:crosses val="autoZero"/>
        <c:crossBetween val="midCat"/>
      </c:valAx>
      <c:valAx>
        <c:axId val="149031552"/>
        <c:scaling>
          <c:orientation val="minMax"/>
          <c:min val="-1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0531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Лист1!$F$14:$F$16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Лист1!$BJ$14:$BJ$16</c:f>
              <c:numCache>
                <c:formatCode>General</c:formatCode>
                <c:ptCount val="3"/>
                <c:pt idx="0">
                  <c:v>5.0999999999999996</c:v>
                </c:pt>
                <c:pt idx="1">
                  <c:v>15.56</c:v>
                </c:pt>
                <c:pt idx="2">
                  <c:v>-37.82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51264"/>
        <c:axId val="149052800"/>
      </c:scatterChart>
      <c:valAx>
        <c:axId val="149051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49052800"/>
        <c:crosses val="autoZero"/>
        <c:crossBetween val="midCat"/>
      </c:valAx>
      <c:valAx>
        <c:axId val="149052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0512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Лист1!$F$14:$F$16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Лист1!$BP$14:$BP$16</c:f>
              <c:numCache>
                <c:formatCode>General</c:formatCode>
                <c:ptCount val="3"/>
                <c:pt idx="0">
                  <c:v>38.630000000000003</c:v>
                </c:pt>
                <c:pt idx="1">
                  <c:v>5.0999999999999996</c:v>
                </c:pt>
                <c:pt idx="2">
                  <c:v>-37.82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72896"/>
        <c:axId val="149091072"/>
      </c:scatterChart>
      <c:valAx>
        <c:axId val="149072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49091072"/>
        <c:crosses val="autoZero"/>
        <c:crossBetween val="midCat"/>
      </c:valAx>
      <c:valAx>
        <c:axId val="149091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0728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Лист1!$F$14:$F$16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Лист1!$BV$14:$BV$16</c:f>
              <c:numCache>
                <c:formatCode>General</c:formatCode>
                <c:ptCount val="3"/>
                <c:pt idx="0">
                  <c:v>-3.04</c:v>
                </c:pt>
                <c:pt idx="1">
                  <c:v>38.630000000000003</c:v>
                </c:pt>
                <c:pt idx="2">
                  <c:v>-37.82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13696"/>
        <c:axId val="150415232"/>
      </c:scatterChart>
      <c:valAx>
        <c:axId val="15041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50415232"/>
        <c:crosses val="autoZero"/>
        <c:crossBetween val="midCat"/>
      </c:valAx>
      <c:valAx>
        <c:axId val="150415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4136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Лист2!$B$3:$B$7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Лист2!$C$3:$C$7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</c:v>
                </c:pt>
                <c:pt idx="3">
                  <c:v>150</c:v>
                </c:pt>
                <c:pt idx="4">
                  <c:v>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40192"/>
        <c:axId val="150454272"/>
      </c:scatterChart>
      <c:valAx>
        <c:axId val="15044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50454272"/>
        <c:crosses val="autoZero"/>
        <c:crossBetween val="midCat"/>
      </c:valAx>
      <c:valAx>
        <c:axId val="150454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440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295275</xdr:colOff>
      <xdr:row>18</xdr:row>
      <xdr:rowOff>95250</xdr:rowOff>
    </xdr:from>
    <xdr:to>
      <xdr:col>21</xdr:col>
      <xdr:colOff>57150</xdr:colOff>
      <xdr:row>25</xdr:row>
      <xdr:rowOff>152400</xdr:rowOff>
    </xdr:to>
    <xdr:graphicFrame macro="">
      <xdr:nvGraphicFramePr>
        <xdr:cNvPr id="1114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18</xdr:row>
      <xdr:rowOff>0</xdr:rowOff>
    </xdr:from>
    <xdr:to>
      <xdr:col>27</xdr:col>
      <xdr:colOff>371475</xdr:colOff>
      <xdr:row>25</xdr:row>
      <xdr:rowOff>57150</xdr:rowOff>
    </xdr:to>
    <xdr:graphicFrame macro="">
      <xdr:nvGraphicFramePr>
        <xdr:cNvPr id="1115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18</xdr:row>
      <xdr:rowOff>0</xdr:rowOff>
    </xdr:from>
    <xdr:to>
      <xdr:col>34</xdr:col>
      <xdr:colOff>371475</xdr:colOff>
      <xdr:row>25</xdr:row>
      <xdr:rowOff>57150</xdr:rowOff>
    </xdr:to>
    <xdr:graphicFrame macro="">
      <xdr:nvGraphicFramePr>
        <xdr:cNvPr id="1116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542925</xdr:colOff>
      <xdr:row>17</xdr:row>
      <xdr:rowOff>133350</xdr:rowOff>
    </xdr:from>
    <xdr:to>
      <xdr:col>40</xdr:col>
      <xdr:colOff>304800</xdr:colOff>
      <xdr:row>25</xdr:row>
      <xdr:rowOff>0</xdr:rowOff>
    </xdr:to>
    <xdr:graphicFrame macro="">
      <xdr:nvGraphicFramePr>
        <xdr:cNvPr id="1117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43</xdr:col>
      <xdr:colOff>152400</xdr:colOff>
      <xdr:row>17</xdr:row>
      <xdr:rowOff>133350</xdr:rowOff>
    </xdr:from>
    <xdr:to>
      <xdr:col>46</xdr:col>
      <xdr:colOff>523875</xdr:colOff>
      <xdr:row>25</xdr:row>
      <xdr:rowOff>0</xdr:rowOff>
    </xdr:to>
    <xdr:graphicFrame macro="">
      <xdr:nvGraphicFramePr>
        <xdr:cNvPr id="1118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49</xdr:col>
      <xdr:colOff>0</xdr:colOff>
      <xdr:row>18</xdr:row>
      <xdr:rowOff>0</xdr:rowOff>
    </xdr:from>
    <xdr:to>
      <xdr:col>52</xdr:col>
      <xdr:colOff>371475</xdr:colOff>
      <xdr:row>25</xdr:row>
      <xdr:rowOff>57150</xdr:rowOff>
    </xdr:to>
    <xdr:graphicFrame macro="">
      <xdr:nvGraphicFramePr>
        <xdr:cNvPr id="1119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55</xdr:col>
      <xdr:colOff>0</xdr:colOff>
      <xdr:row>18</xdr:row>
      <xdr:rowOff>0</xdr:rowOff>
    </xdr:from>
    <xdr:to>
      <xdr:col>58</xdr:col>
      <xdr:colOff>371475</xdr:colOff>
      <xdr:row>25</xdr:row>
      <xdr:rowOff>57150</xdr:rowOff>
    </xdr:to>
    <xdr:graphicFrame macro="">
      <xdr:nvGraphicFramePr>
        <xdr:cNvPr id="1120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62</xdr:col>
      <xdr:colOff>0</xdr:colOff>
      <xdr:row>18</xdr:row>
      <xdr:rowOff>0</xdr:rowOff>
    </xdr:from>
    <xdr:to>
      <xdr:col>65</xdr:col>
      <xdr:colOff>371475</xdr:colOff>
      <xdr:row>25</xdr:row>
      <xdr:rowOff>57150</xdr:rowOff>
    </xdr:to>
    <xdr:graphicFrame macro="">
      <xdr:nvGraphicFramePr>
        <xdr:cNvPr id="1121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71</xdr:col>
      <xdr:colOff>371475</xdr:colOff>
      <xdr:row>25</xdr:row>
      <xdr:rowOff>57150</xdr:rowOff>
    </xdr:to>
    <xdr:graphicFrame macro="">
      <xdr:nvGraphicFramePr>
        <xdr:cNvPr id="1122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74</xdr:col>
      <xdr:colOff>0</xdr:colOff>
      <xdr:row>18</xdr:row>
      <xdr:rowOff>0</xdr:rowOff>
    </xdr:from>
    <xdr:to>
      <xdr:col>77</xdr:col>
      <xdr:colOff>371475</xdr:colOff>
      <xdr:row>25</xdr:row>
      <xdr:rowOff>57150</xdr:rowOff>
    </xdr:to>
    <xdr:graphicFrame macro="">
      <xdr:nvGraphicFramePr>
        <xdr:cNvPr id="1123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</xdr:row>
      <xdr:rowOff>28575</xdr:rowOff>
    </xdr:from>
    <xdr:to>
      <xdr:col>7</xdr:col>
      <xdr:colOff>428625</xdr:colOff>
      <xdr:row>25</xdr:row>
      <xdr:rowOff>104775</xdr:rowOff>
    </xdr:to>
    <xdr:graphicFrame macro="">
      <xdr:nvGraphicFramePr>
        <xdr:cNvPr id="2151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D4D0C8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FS40"/>
  <sheetViews>
    <sheetView tabSelected="1" topLeftCell="A6" workbookViewId="0">
      <pane xSplit="8070" topLeftCell="Q1" activePane="topRight"/>
      <selection activeCell="C38" sqref="C38"/>
      <selection pane="topRight" activeCell="L38" sqref="L38"/>
    </sheetView>
  </sheetViews>
  <sheetFormatPr defaultRowHeight="15" x14ac:dyDescent="0.25"/>
  <sheetData>
    <row r="1" spans="1:175" x14ac:dyDescent="0.25">
      <c r="H1">
        <v>1</v>
      </c>
      <c r="N1">
        <v>2</v>
      </c>
      <c r="T1">
        <v>3</v>
      </c>
      <c r="Z1">
        <v>4</v>
      </c>
      <c r="AF1">
        <v>5</v>
      </c>
      <c r="AL1">
        <v>6</v>
      </c>
      <c r="AR1">
        <v>7</v>
      </c>
      <c r="AX1">
        <v>8</v>
      </c>
      <c r="BD1">
        <v>9</v>
      </c>
      <c r="BJ1">
        <v>10</v>
      </c>
      <c r="BP1">
        <v>11</v>
      </c>
      <c r="BV1">
        <v>12</v>
      </c>
      <c r="CB1">
        <v>13</v>
      </c>
      <c r="CH1">
        <v>14</v>
      </c>
      <c r="CN1">
        <v>15</v>
      </c>
      <c r="DX1">
        <v>12</v>
      </c>
      <c r="ED1">
        <v>13</v>
      </c>
      <c r="EJ1">
        <v>14</v>
      </c>
      <c r="EP1">
        <v>15</v>
      </c>
      <c r="EV1">
        <v>16</v>
      </c>
      <c r="FB1">
        <v>17</v>
      </c>
      <c r="FH1">
        <v>18</v>
      </c>
      <c r="FN1">
        <v>19</v>
      </c>
    </row>
    <row r="4" spans="1:175" x14ac:dyDescent="0.25">
      <c r="BJ4">
        <f>BD5</f>
        <v>-3.04</v>
      </c>
      <c r="BM4" t="s">
        <v>21</v>
      </c>
    </row>
    <row r="5" spans="1:175" x14ac:dyDescent="0.25">
      <c r="G5" t="s">
        <v>19</v>
      </c>
      <c r="I5" t="s">
        <v>15</v>
      </c>
      <c r="J5" t="s">
        <v>16</v>
      </c>
      <c r="K5" t="s">
        <v>18</v>
      </c>
      <c r="L5" t="s">
        <v>17</v>
      </c>
      <c r="M5" t="s">
        <v>20</v>
      </c>
      <c r="O5" t="s">
        <v>15</v>
      </c>
      <c r="P5" t="s">
        <v>16</v>
      </c>
      <c r="Q5" t="s">
        <v>18</v>
      </c>
      <c r="R5" t="s">
        <v>17</v>
      </c>
      <c r="S5" t="s">
        <v>20</v>
      </c>
      <c r="U5" t="s">
        <v>15</v>
      </c>
      <c r="V5" t="s">
        <v>16</v>
      </c>
      <c r="W5" t="s">
        <v>18</v>
      </c>
      <c r="X5" t="s">
        <v>17</v>
      </c>
      <c r="Y5" t="s">
        <v>20</v>
      </c>
      <c r="AA5" t="s">
        <v>15</v>
      </c>
      <c r="AB5" t="s">
        <v>16</v>
      </c>
      <c r="AC5" t="s">
        <v>18</v>
      </c>
      <c r="AD5" t="s">
        <v>17</v>
      </c>
      <c r="AE5" t="s">
        <v>20</v>
      </c>
      <c r="AF5">
        <f>Z6</f>
        <v>-3.04</v>
      </c>
      <c r="AG5" t="s">
        <v>15</v>
      </c>
      <c r="AH5" t="s">
        <v>16</v>
      </c>
      <c r="AI5" t="s">
        <v>18</v>
      </c>
      <c r="AJ5" t="s">
        <v>17</v>
      </c>
      <c r="AK5" t="s">
        <v>20</v>
      </c>
      <c r="AM5" t="s">
        <v>15</v>
      </c>
      <c r="AN5" t="s">
        <v>16</v>
      </c>
      <c r="AO5" t="s">
        <v>18</v>
      </c>
      <c r="AP5" t="s">
        <v>17</v>
      </c>
      <c r="AQ5" t="s">
        <v>20</v>
      </c>
      <c r="AR5">
        <f>AL6</f>
        <v>-3.04</v>
      </c>
      <c r="AS5" t="s">
        <v>15</v>
      </c>
      <c r="AT5" t="s">
        <v>16</v>
      </c>
      <c r="AU5" t="s">
        <v>18</v>
      </c>
      <c r="AV5" t="s">
        <v>17</v>
      </c>
      <c r="AW5" t="s">
        <v>20</v>
      </c>
      <c r="AY5" t="s">
        <v>15</v>
      </c>
      <c r="AZ5" t="s">
        <v>16</v>
      </c>
      <c r="BA5" t="s">
        <v>18</v>
      </c>
      <c r="BB5" t="s">
        <v>17</v>
      </c>
      <c r="BC5" t="s">
        <v>20</v>
      </c>
      <c r="BD5" s="4">
        <f>AX6</f>
        <v>-3.04</v>
      </c>
      <c r="BE5" t="s">
        <v>15</v>
      </c>
      <c r="BF5" t="s">
        <v>16</v>
      </c>
      <c r="BG5" t="s">
        <v>18</v>
      </c>
      <c r="BH5" t="s">
        <v>17</v>
      </c>
      <c r="BI5" t="s">
        <v>20</v>
      </c>
      <c r="BJ5">
        <f>BD6</f>
        <v>38.630000000000003</v>
      </c>
      <c r="BK5" t="s">
        <v>15</v>
      </c>
      <c r="BL5" t="s">
        <v>16</v>
      </c>
      <c r="BM5" t="s">
        <v>18</v>
      </c>
      <c r="BN5" t="s">
        <v>17</v>
      </c>
      <c r="BO5" t="s">
        <v>20</v>
      </c>
      <c r="BP5">
        <f>BJ4</f>
        <v>-3.04</v>
      </c>
      <c r="BQ5" t="s">
        <v>15</v>
      </c>
      <c r="BR5" t="s">
        <v>16</v>
      </c>
      <c r="BS5" t="s">
        <v>18</v>
      </c>
      <c r="BT5" t="s">
        <v>17</v>
      </c>
      <c r="BU5" t="s">
        <v>20</v>
      </c>
      <c r="BW5" t="s">
        <v>15</v>
      </c>
      <c r="BX5" t="s">
        <v>16</v>
      </c>
      <c r="BY5" t="s">
        <v>18</v>
      </c>
      <c r="BZ5" t="s">
        <v>17</v>
      </c>
      <c r="CA5" t="s">
        <v>20</v>
      </c>
      <c r="CC5" t="s">
        <v>15</v>
      </c>
      <c r="CD5" t="s">
        <v>16</v>
      </c>
      <c r="CE5" t="s">
        <v>18</v>
      </c>
      <c r="CF5" t="s">
        <v>17</v>
      </c>
      <c r="CG5" t="s">
        <v>20</v>
      </c>
      <c r="CH5">
        <f>CB6</f>
        <v>38.630000000000003</v>
      </c>
      <c r="CI5" t="s">
        <v>15</v>
      </c>
      <c r="CJ5" t="s">
        <v>16</v>
      </c>
      <c r="CK5" t="s">
        <v>18</v>
      </c>
      <c r="CL5" t="s">
        <v>17</v>
      </c>
      <c r="CM5" t="s">
        <v>20</v>
      </c>
      <c r="CO5" t="s">
        <v>15</v>
      </c>
      <c r="CP5" t="s">
        <v>16</v>
      </c>
      <c r="CQ5" t="s">
        <v>18</v>
      </c>
      <c r="CR5" t="s">
        <v>17</v>
      </c>
      <c r="CS5" t="s">
        <v>20</v>
      </c>
      <c r="DY5" t="s">
        <v>15</v>
      </c>
      <c r="DZ5" t="s">
        <v>16</v>
      </c>
      <c r="EA5" t="s">
        <v>18</v>
      </c>
      <c r="EB5" t="s">
        <v>17</v>
      </c>
      <c r="EC5" t="s">
        <v>20</v>
      </c>
      <c r="EE5" t="s">
        <v>15</v>
      </c>
      <c r="EF5" t="s">
        <v>16</v>
      </c>
      <c r="EG5" t="s">
        <v>18</v>
      </c>
      <c r="EH5" t="s">
        <v>17</v>
      </c>
      <c r="EI5" t="s">
        <v>20</v>
      </c>
      <c r="EK5" t="s">
        <v>15</v>
      </c>
      <c r="EL5" t="s">
        <v>16</v>
      </c>
      <c r="EM5" t="s">
        <v>18</v>
      </c>
      <c r="EN5" t="s">
        <v>17</v>
      </c>
      <c r="EO5" t="s">
        <v>20</v>
      </c>
      <c r="EP5">
        <f>EJ6</f>
        <v>-3.04</v>
      </c>
      <c r="EQ5" t="s">
        <v>15</v>
      </c>
      <c r="ER5" t="s">
        <v>16</v>
      </c>
      <c r="ES5" t="s">
        <v>18</v>
      </c>
      <c r="ET5" t="s">
        <v>17</v>
      </c>
      <c r="EU5" t="s">
        <v>20</v>
      </c>
      <c r="EW5" t="s">
        <v>15</v>
      </c>
      <c r="EX5" t="s">
        <v>16</v>
      </c>
      <c r="EY5" t="s">
        <v>18</v>
      </c>
      <c r="EZ5" t="s">
        <v>17</v>
      </c>
      <c r="FA5" t="s">
        <v>20</v>
      </c>
      <c r="FB5">
        <f>EV6</f>
        <v>-3.04</v>
      </c>
      <c r="FC5" t="s">
        <v>15</v>
      </c>
      <c r="FD5" t="s">
        <v>16</v>
      </c>
      <c r="FE5" t="s">
        <v>18</v>
      </c>
      <c r="FF5" t="s">
        <v>17</v>
      </c>
      <c r="FG5" t="s">
        <v>20</v>
      </c>
      <c r="FI5" t="s">
        <v>15</v>
      </c>
      <c r="FJ5" t="s">
        <v>16</v>
      </c>
      <c r="FK5" t="s">
        <v>18</v>
      </c>
      <c r="FL5" t="s">
        <v>17</v>
      </c>
      <c r="FM5" t="s">
        <v>20</v>
      </c>
    </row>
    <row r="6" spans="1:175" x14ac:dyDescent="0.25">
      <c r="A6">
        <v>1</v>
      </c>
      <c r="B6" t="s">
        <v>0</v>
      </c>
      <c r="C6">
        <v>-3.04</v>
      </c>
      <c r="G6" t="s">
        <v>11</v>
      </c>
      <c r="H6">
        <f>C6</f>
        <v>-3.04</v>
      </c>
      <c r="N6">
        <f>H6</f>
        <v>-3.04</v>
      </c>
      <c r="T6">
        <f>N6</f>
        <v>-3.04</v>
      </c>
      <c r="Z6">
        <f>T6</f>
        <v>-3.04</v>
      </c>
      <c r="AF6">
        <f>Z7</f>
        <v>38.630000000000003</v>
      </c>
      <c r="AL6">
        <f>AF5</f>
        <v>-3.04</v>
      </c>
      <c r="AR6">
        <f>AL7</f>
        <v>38.630000000000003</v>
      </c>
      <c r="AX6">
        <f>AR5</f>
        <v>-3.04</v>
      </c>
      <c r="BD6" s="5">
        <f>AX7</f>
        <v>38.630000000000003</v>
      </c>
      <c r="BJ6">
        <f>BD7</f>
        <v>5.0999999999999996</v>
      </c>
      <c r="BP6">
        <f>BJ5</f>
        <v>38.630000000000003</v>
      </c>
      <c r="BV6">
        <f>BP6</f>
        <v>38.630000000000003</v>
      </c>
      <c r="CB6">
        <f>BV6</f>
        <v>38.630000000000003</v>
      </c>
      <c r="CH6">
        <f>CB7</f>
        <v>-37.82</v>
      </c>
      <c r="CN6">
        <f>CH5</f>
        <v>38.630000000000003</v>
      </c>
      <c r="DX6">
        <f>BP5</f>
        <v>-3.04</v>
      </c>
      <c r="ED6">
        <f>DX6</f>
        <v>-3.04</v>
      </c>
      <c r="EJ6">
        <f>ED6</f>
        <v>-3.04</v>
      </c>
      <c r="EP6">
        <f>EJ7</f>
        <v>26.81</v>
      </c>
      <c r="EV6">
        <f>EP5</f>
        <v>-3.04</v>
      </c>
      <c r="FB6">
        <f>EV7</f>
        <v>26.81</v>
      </c>
      <c r="FH6">
        <f>FB5</f>
        <v>-3.04</v>
      </c>
      <c r="FN6">
        <f>FH6</f>
        <v>-3.04</v>
      </c>
    </row>
    <row r="7" spans="1:175" x14ac:dyDescent="0.25">
      <c r="A7">
        <v>2</v>
      </c>
      <c r="B7" s="11">
        <v>0</v>
      </c>
      <c r="C7">
        <v>-7.46</v>
      </c>
      <c r="G7" t="s">
        <v>12</v>
      </c>
      <c r="H7" s="2">
        <f>C7</f>
        <v>-7.46</v>
      </c>
      <c r="N7" s="2">
        <f>H8</f>
        <v>5.0999999999999996</v>
      </c>
      <c r="T7" s="2">
        <f>N8</f>
        <v>-16.12</v>
      </c>
      <c r="Z7" s="3">
        <f>T8</f>
        <v>38.630000000000003</v>
      </c>
      <c r="AF7" s="2">
        <f>Z8</f>
        <v>26.17</v>
      </c>
      <c r="AL7">
        <f>AF6</f>
        <v>38.630000000000003</v>
      </c>
      <c r="AR7" s="2">
        <f>AL8</f>
        <v>38.630000000000003</v>
      </c>
      <c r="AX7">
        <f>AR6</f>
        <v>38.630000000000003</v>
      </c>
      <c r="BD7" s="5">
        <f>AX8</f>
        <v>5.0999999999999996</v>
      </c>
      <c r="BJ7" s="2">
        <f>BD8</f>
        <v>15.56</v>
      </c>
      <c r="BP7" s="2">
        <f>BJ6</f>
        <v>5.0999999999999996</v>
      </c>
      <c r="BV7">
        <f>BP8</f>
        <v>-37.82</v>
      </c>
      <c r="CB7">
        <f>BV7</f>
        <v>-37.82</v>
      </c>
      <c r="CH7" s="2">
        <f>CB8</f>
        <v>-37.82</v>
      </c>
      <c r="CN7">
        <f>CH6</f>
        <v>-37.82</v>
      </c>
      <c r="DX7" s="2">
        <f>BP6</f>
        <v>38.630000000000003</v>
      </c>
      <c r="ED7" s="2">
        <f>DX8</f>
        <v>-37.82</v>
      </c>
      <c r="EJ7">
        <f>ED8</f>
        <v>26.81</v>
      </c>
      <c r="EP7" s="2">
        <f>EJ8</f>
        <v>26.81</v>
      </c>
      <c r="EV7">
        <f>EP6</f>
        <v>26.81</v>
      </c>
      <c r="FB7" s="2">
        <f>EV8</f>
        <v>17.670000000000002</v>
      </c>
      <c r="FH7" s="2">
        <f>FB6</f>
        <v>26.81</v>
      </c>
      <c r="FN7">
        <f>FH8</f>
        <v>70.569999999999993</v>
      </c>
    </row>
    <row r="8" spans="1:175" x14ac:dyDescent="0.25">
      <c r="A8">
        <v>3</v>
      </c>
      <c r="B8" s="11">
        <v>1</v>
      </c>
      <c r="C8" s="1">
        <v>5.0999999999999996</v>
      </c>
      <c r="D8" t="s">
        <v>1</v>
      </c>
      <c r="G8" t="s">
        <v>13</v>
      </c>
      <c r="H8">
        <f>C8</f>
        <v>5.0999999999999996</v>
      </c>
      <c r="N8">
        <f>H9</f>
        <v>-16.12</v>
      </c>
      <c r="T8">
        <f>N9</f>
        <v>38.630000000000003</v>
      </c>
      <c r="Z8">
        <f>T9</f>
        <v>26.17</v>
      </c>
      <c r="AF8">
        <f>Z9</f>
        <v>38.630000000000003</v>
      </c>
      <c r="AL8">
        <f>AF8</f>
        <v>38.630000000000003</v>
      </c>
      <c r="AR8">
        <f>AL9</f>
        <v>5.0999999999999996</v>
      </c>
      <c r="AX8">
        <f>AR8</f>
        <v>5.0999999999999996</v>
      </c>
      <c r="BD8" s="5">
        <f>AX9</f>
        <v>15.56</v>
      </c>
      <c r="BJ8">
        <f>BD9</f>
        <v>-37.82</v>
      </c>
      <c r="BP8">
        <f>BJ8</f>
        <v>-37.82</v>
      </c>
      <c r="BV8">
        <f>BP8</f>
        <v>-37.82</v>
      </c>
      <c r="CB8">
        <f>BV8</f>
        <v>-37.82</v>
      </c>
      <c r="CH8">
        <f>CB9</f>
        <v>26.81</v>
      </c>
      <c r="CN8">
        <f>CH8</f>
        <v>26.81</v>
      </c>
      <c r="DX8">
        <f>BP8</f>
        <v>-37.82</v>
      </c>
      <c r="ED8">
        <f>DX9</f>
        <v>26.81</v>
      </c>
      <c r="EJ8">
        <f>ED9</f>
        <v>26.81</v>
      </c>
      <c r="EP8">
        <f>EJ9</f>
        <v>17.670000000000002</v>
      </c>
      <c r="EV8">
        <f>EP8</f>
        <v>17.670000000000002</v>
      </c>
      <c r="FB8">
        <f>EV9</f>
        <v>70.569999999999993</v>
      </c>
      <c r="FH8">
        <f>FB8</f>
        <v>70.569999999999993</v>
      </c>
      <c r="FN8">
        <f>FH9</f>
        <v>-5.47</v>
      </c>
    </row>
    <row r="9" spans="1:175" x14ac:dyDescent="0.25">
      <c r="A9">
        <v>4</v>
      </c>
      <c r="B9" s="11">
        <v>2</v>
      </c>
      <c r="C9" s="1">
        <v>-16.12</v>
      </c>
      <c r="G9" t="s">
        <v>14</v>
      </c>
      <c r="H9">
        <f>C9</f>
        <v>-16.12</v>
      </c>
      <c r="I9">
        <f>ABS(H7-H8)</f>
        <v>12.559999999999999</v>
      </c>
      <c r="J9">
        <f>ABS(H6-H7)</f>
        <v>4.42</v>
      </c>
      <c r="K9" t="str">
        <f>IF(ABS(I9)&gt;=ABS(J9),"цикл","неЗамкн")</f>
        <v>цикл</v>
      </c>
      <c r="L9">
        <f>ABS(H7-H6)</f>
        <v>4.42</v>
      </c>
      <c r="M9">
        <f>AVERAGE(H6:H7)</f>
        <v>-5.25</v>
      </c>
      <c r="N9">
        <f>C10</f>
        <v>38.630000000000003</v>
      </c>
      <c r="O9">
        <f>ABS(N7-N8)</f>
        <v>21.22</v>
      </c>
      <c r="P9">
        <f>ABS(N6-N7)</f>
        <v>8.14</v>
      </c>
      <c r="Q9" t="str">
        <f>IF(ABS(O9)&gt;=ABS(P9),"цикл","неЗамкн")</f>
        <v>цикл</v>
      </c>
      <c r="R9">
        <f>ABS(N7-N6)</f>
        <v>8.14</v>
      </c>
      <c r="S9">
        <f>AVERAGE(N6:N7)</f>
        <v>1.0299999999999998</v>
      </c>
      <c r="T9">
        <f>C11</f>
        <v>26.17</v>
      </c>
      <c r="U9">
        <f>ABS(T7-T8)</f>
        <v>54.75</v>
      </c>
      <c r="V9">
        <f>ABS(T6-T7)</f>
        <v>13.080000000000002</v>
      </c>
      <c r="W9" t="str">
        <f>IF(ABS(U9)&gt;=ABS(V9),"цикл","неЗамкн")</f>
        <v>цикл</v>
      </c>
      <c r="X9">
        <f>ABS(T7-T6)</f>
        <v>13.080000000000002</v>
      </c>
      <c r="Y9">
        <f>AVERAGE(T6:T7)</f>
        <v>-9.58</v>
      </c>
      <c r="Z9">
        <f>C12</f>
        <v>38.630000000000003</v>
      </c>
      <c r="AA9">
        <f>ABS(Z7-Z8)</f>
        <v>12.46</v>
      </c>
      <c r="AB9">
        <f>ABS(Z6-Z7)</f>
        <v>41.67</v>
      </c>
      <c r="AC9" t="str">
        <f>IF(ABS(AA9)&gt;=ABS(AB9),"цикл","неЗамкн")</f>
        <v>неЗамкн</v>
      </c>
      <c r="AD9">
        <f>ABS(Z7-Z6)</f>
        <v>41.67</v>
      </c>
      <c r="AE9">
        <f>AVERAGE(Z6:Z7)</f>
        <v>17.795000000000002</v>
      </c>
      <c r="AF9">
        <f>C13</f>
        <v>5.0999999999999996</v>
      </c>
      <c r="AG9">
        <f>ABS(AF7-AF8)</f>
        <v>12.46</v>
      </c>
      <c r="AH9">
        <f>ABS(AF6-AF7)</f>
        <v>12.46</v>
      </c>
      <c r="AI9" t="str">
        <f>IF(ABS(AG9)&gt;=ABS(AH9),"цикл","неЗамкн")</f>
        <v>цикл</v>
      </c>
      <c r="AJ9">
        <f>ABS(AF7-AF6)</f>
        <v>12.46</v>
      </c>
      <c r="AK9">
        <f>AVERAGE(AF6:AF7)</f>
        <v>32.400000000000006</v>
      </c>
      <c r="AL9">
        <f>AF9</f>
        <v>5.0999999999999996</v>
      </c>
      <c r="AM9">
        <f>ABS(AL7-AL8)</f>
        <v>0</v>
      </c>
      <c r="AN9">
        <f>ABS(AL6-AL7)</f>
        <v>41.67</v>
      </c>
      <c r="AO9" t="str">
        <f>IF(ABS(AM9)&gt;=ABS(AN9),"цикл","неЗамкн")</f>
        <v>неЗамкн</v>
      </c>
      <c r="AP9">
        <f>ABS(AL7-AL6)</f>
        <v>41.67</v>
      </c>
      <c r="AQ9">
        <f>AVERAGE(AL6:AL7)</f>
        <v>17.795000000000002</v>
      </c>
      <c r="AR9">
        <f>C14</f>
        <v>15.56</v>
      </c>
      <c r="AS9">
        <f>ABS(AR7-AR8)</f>
        <v>33.53</v>
      </c>
      <c r="AT9">
        <f>ABS(AR6-AR7)</f>
        <v>0</v>
      </c>
      <c r="AU9" t="str">
        <f>IF(ABS(AS9)&gt;=ABS(AT9),"цикл","неЗамкн")</f>
        <v>цикл</v>
      </c>
      <c r="AV9">
        <f>ABS(AR7-AR6)</f>
        <v>0</v>
      </c>
      <c r="AW9">
        <f>AVERAGE(AR6:AR7)</f>
        <v>38.630000000000003</v>
      </c>
      <c r="AX9">
        <f>AR9</f>
        <v>15.56</v>
      </c>
      <c r="AY9">
        <f>ABS(AX7-AX8)</f>
        <v>33.53</v>
      </c>
      <c r="AZ9">
        <f>ABS(AX6-AX7)</f>
        <v>41.67</v>
      </c>
      <c r="BA9" t="str">
        <f>IF(ABS(AY9)&gt;=ABS(AZ9),"цикл","неЗамкн")</f>
        <v>неЗамкн</v>
      </c>
      <c r="BB9">
        <f>ABS(AX7-AX6)</f>
        <v>41.67</v>
      </c>
      <c r="BC9">
        <f>AVERAGE(AX6:AX7)</f>
        <v>17.795000000000002</v>
      </c>
      <c r="BD9" s="6">
        <f>C15</f>
        <v>-37.82</v>
      </c>
      <c r="BE9">
        <f>ABS(BD7-BD8)</f>
        <v>10.46</v>
      </c>
      <c r="BF9">
        <f>ABS(BD6-BD7)</f>
        <v>33.53</v>
      </c>
      <c r="BG9" t="str">
        <f>IF(ABS(BE9)&gt;=ABS(BF9),"цикл","неЗамкн")</f>
        <v>неЗамкн</v>
      </c>
      <c r="BH9">
        <f>ABS(BD7-BD6)</f>
        <v>33.53</v>
      </c>
      <c r="BI9">
        <f>AVERAGE(BD6:BD7)</f>
        <v>21.865000000000002</v>
      </c>
      <c r="BJ9">
        <f>C18</f>
        <v>26.81</v>
      </c>
      <c r="BK9">
        <f>ABS(BJ7-BJ8)</f>
        <v>53.38</v>
      </c>
      <c r="BL9">
        <f>ABS(BJ6-BJ7)</f>
        <v>10.46</v>
      </c>
      <c r="BM9" t="str">
        <f>IF(ABS(BK9)&gt;=ABS(BL9),"цикл","неЗамкн")</f>
        <v>цикл</v>
      </c>
      <c r="BN9">
        <f>ABS(BJ7-BJ6)</f>
        <v>10.46</v>
      </c>
      <c r="BO9">
        <f>AVERAGE(BJ6:BJ7)</f>
        <v>10.33</v>
      </c>
      <c r="BP9">
        <f>BJ9</f>
        <v>26.81</v>
      </c>
      <c r="BQ9">
        <f>ABS(BP7-BP8)</f>
        <v>42.92</v>
      </c>
      <c r="BR9">
        <f>ABS(BP6-BP7)</f>
        <v>33.53</v>
      </c>
      <c r="BS9" t="str">
        <f>IF(ABS(BQ9)&gt;=ABS(BR9),"цикл","неЗамкн")</f>
        <v>цикл</v>
      </c>
      <c r="BT9">
        <f>ABS(BP7-BP6)</f>
        <v>33.53</v>
      </c>
      <c r="BU9">
        <f>AVERAGE(BP6:BP7)</f>
        <v>21.865000000000002</v>
      </c>
      <c r="BW9">
        <f>ABS(BV7-BV8)</f>
        <v>0</v>
      </c>
      <c r="BX9">
        <f>ABS(BV6-BV7)</f>
        <v>76.45</v>
      </c>
      <c r="BY9" t="str">
        <f>IF(ABS(BW9)&gt;=ABS(BX9),"цикл","неЗамкн")</f>
        <v>неЗамкн</v>
      </c>
      <c r="BZ9">
        <f>ABS(BV7-BV6)</f>
        <v>76.45</v>
      </c>
      <c r="CA9">
        <f>AVERAGE(BV6:BV7)</f>
        <v>0.40500000000000114</v>
      </c>
      <c r="CB9">
        <f>C16</f>
        <v>26.81</v>
      </c>
      <c r="CC9">
        <f>ABS(CB7-CB8)</f>
        <v>0</v>
      </c>
      <c r="CD9">
        <f>ABS(CB6-CB7)</f>
        <v>76.45</v>
      </c>
      <c r="CE9" t="str">
        <f>IF(ABS(CC9)&gt;=ABS(CD9),"цикл","неЗамкн")</f>
        <v>неЗамкн</v>
      </c>
      <c r="CF9">
        <f>ABS(CB7-CB6)</f>
        <v>76.45</v>
      </c>
      <c r="CG9">
        <f>AVERAGE(CB6:CB7)</f>
        <v>0.40500000000000114</v>
      </c>
      <c r="CH9">
        <f>C17</f>
        <v>-37.82</v>
      </c>
      <c r="CI9">
        <f>ABS(CH7-CH8)</f>
        <v>64.63</v>
      </c>
      <c r="CJ9">
        <f>ABS(CH6-CH7)</f>
        <v>0</v>
      </c>
      <c r="CK9" t="str">
        <f>IF(ABS(CI9)&gt;=ABS(CJ9),"цикл","неЗамкн")</f>
        <v>цикл</v>
      </c>
      <c r="CL9">
        <f>ABS(CH7-CH6)</f>
        <v>0</v>
      </c>
      <c r="CM9">
        <f>AVERAGE(CH6:CH7)</f>
        <v>-37.82</v>
      </c>
      <c r="CN9">
        <f>CH9</f>
        <v>-37.82</v>
      </c>
      <c r="CO9">
        <f>ABS(CN7-CN8)</f>
        <v>64.63</v>
      </c>
      <c r="CP9">
        <f>ABS(CN6-CN7)</f>
        <v>76.45</v>
      </c>
      <c r="CQ9" t="str">
        <f>IF(ABS(CO9)&gt;=ABS(CP9),"цикл","неЗамкн")</f>
        <v>неЗамкн</v>
      </c>
      <c r="CR9">
        <f>ABS(CN7-CN6)</f>
        <v>76.45</v>
      </c>
      <c r="CS9">
        <f>AVERAGE(CN6:CN7)</f>
        <v>0.40500000000000114</v>
      </c>
      <c r="DX9">
        <f>BP9</f>
        <v>26.81</v>
      </c>
      <c r="DY9">
        <f>ABS(DX7-DX8)</f>
        <v>76.45</v>
      </c>
      <c r="DZ9">
        <f>ABS(DX6-DX7)</f>
        <v>41.67</v>
      </c>
      <c r="EA9" t="str">
        <f>IF(ABS(DY9)&gt;=ABS(DZ9),"цикл","неЗамкн")</f>
        <v>цикл</v>
      </c>
      <c r="EB9">
        <f>ABS(DX7-DX6)</f>
        <v>41.67</v>
      </c>
      <c r="EC9">
        <f>AVERAGE(DX6:DX7)</f>
        <v>17.795000000000002</v>
      </c>
      <c r="ED9">
        <f>C18</f>
        <v>26.81</v>
      </c>
      <c r="EE9">
        <f>ABS(ED7-ED8)</f>
        <v>64.63</v>
      </c>
      <c r="EF9">
        <f>ABS(ED6-ED7)</f>
        <v>34.78</v>
      </c>
      <c r="EG9" t="str">
        <f>IF(ABS(EE9)&gt;=ABS(EF9),"цикл","неЗамкн")</f>
        <v>цикл</v>
      </c>
      <c r="EH9">
        <f>ABS(ED7-ED6)</f>
        <v>34.78</v>
      </c>
      <c r="EI9">
        <f>AVERAGE(ED6:ED7)</f>
        <v>-20.43</v>
      </c>
      <c r="EJ9">
        <f>C19</f>
        <v>17.670000000000002</v>
      </c>
      <c r="EK9">
        <f>ABS(EJ7-EJ8)</f>
        <v>0</v>
      </c>
      <c r="EL9">
        <f>ABS(EJ6-EJ7)</f>
        <v>29.849999999999998</v>
      </c>
      <c r="EM9" t="str">
        <f>IF(ABS(EK9)&gt;=ABS(EL9),"цикл","неЗамкн")</f>
        <v>неЗамкн</v>
      </c>
      <c r="EN9">
        <f>ABS(EJ7-EJ6)</f>
        <v>29.849999999999998</v>
      </c>
      <c r="EO9">
        <f>AVERAGE(EJ6:EJ7)</f>
        <v>11.885</v>
      </c>
      <c r="EP9">
        <f>C20</f>
        <v>70.569999999999993</v>
      </c>
      <c r="EQ9">
        <f>ABS(EP7-EP8)</f>
        <v>9.139999999999997</v>
      </c>
      <c r="ER9">
        <f>ABS(EP6-EP7)</f>
        <v>0</v>
      </c>
      <c r="ES9" t="str">
        <f>IF(ABS(EQ9)&gt;=ABS(ER9),"цикл","неЗамкн")</f>
        <v>цикл</v>
      </c>
      <c r="ET9">
        <f>ABS(EP7-EP6)</f>
        <v>0</v>
      </c>
      <c r="EU9">
        <f>AVERAGE(EP6:EP7)</f>
        <v>26.81</v>
      </c>
      <c r="EV9">
        <f>EP9</f>
        <v>70.569999999999993</v>
      </c>
      <c r="EW9">
        <f>ABS(EV7-EV8)</f>
        <v>9.139999999999997</v>
      </c>
      <c r="EX9">
        <f>ABS(EV6-EV7)</f>
        <v>29.849999999999998</v>
      </c>
      <c r="EY9" t="str">
        <f>IF(ABS(EW9)&gt;=ABS(EX9),"цикл","неЗамкн")</f>
        <v>неЗамкн</v>
      </c>
      <c r="EZ9">
        <f>ABS(EV7-EV6)</f>
        <v>29.849999999999998</v>
      </c>
      <c r="FA9">
        <f>AVERAGE(EV6:EV7)</f>
        <v>11.885</v>
      </c>
      <c r="FB9">
        <f>C21</f>
        <v>-5.47</v>
      </c>
      <c r="FC9">
        <f>ABS(FB7-FB8)</f>
        <v>52.899999999999991</v>
      </c>
      <c r="FD9">
        <f>ABS(FB6-FB7)</f>
        <v>9.139999999999997</v>
      </c>
      <c r="FE9" t="str">
        <f>IF(ABS(FC9)&gt;=ABS(FD9),"цикл","неЗамкн")</f>
        <v>цикл</v>
      </c>
      <c r="FF9">
        <f>ABS(FB7-FB6)</f>
        <v>9.139999999999997</v>
      </c>
      <c r="FG9">
        <f>AVERAGE(FB6:FB7)</f>
        <v>22.240000000000002</v>
      </c>
      <c r="FH9">
        <f>FB9</f>
        <v>-5.47</v>
      </c>
      <c r="FI9">
        <f>ABS(FH7-FH8)</f>
        <v>43.759999999999991</v>
      </c>
      <c r="FJ9">
        <f>ABS(FH6-FH7)</f>
        <v>29.849999999999998</v>
      </c>
      <c r="FK9" t="str">
        <f>IF(ABS(FI9)&gt;=ABS(FJ9),"цикл","неЗамкн")</f>
        <v>цикл</v>
      </c>
      <c r="FL9">
        <f>ABS(FH7-FH6)</f>
        <v>29.849999999999998</v>
      </c>
      <c r="FM9">
        <f>AVERAGE(FH6:FH7)</f>
        <v>11.885</v>
      </c>
      <c r="FN9">
        <f>C22</f>
        <v>5.45</v>
      </c>
    </row>
    <row r="10" spans="1:175" x14ac:dyDescent="0.25">
      <c r="A10">
        <v>5</v>
      </c>
      <c r="B10" s="11">
        <v>3</v>
      </c>
      <c r="C10" s="1">
        <v>38.630000000000003</v>
      </c>
      <c r="D10" t="s">
        <v>1</v>
      </c>
    </row>
    <row r="11" spans="1:175" x14ac:dyDescent="0.25">
      <c r="A11">
        <v>6</v>
      </c>
      <c r="B11" s="11">
        <v>4</v>
      </c>
      <c r="C11" s="1">
        <v>26.17</v>
      </c>
      <c r="D11" t="s">
        <v>2</v>
      </c>
      <c r="AX11" t="s">
        <v>22</v>
      </c>
      <c r="BD11" t="s">
        <v>23</v>
      </c>
      <c r="BJ11" t="s">
        <v>23</v>
      </c>
      <c r="BP11" t="s">
        <v>23</v>
      </c>
      <c r="BV11" t="s">
        <v>24</v>
      </c>
    </row>
    <row r="12" spans="1:175" x14ac:dyDescent="0.25">
      <c r="A12">
        <v>7</v>
      </c>
      <c r="B12" s="11">
        <v>5</v>
      </c>
      <c r="C12" s="1">
        <v>38.630000000000003</v>
      </c>
      <c r="D12" t="s">
        <v>1</v>
      </c>
      <c r="F12">
        <v>-1</v>
      </c>
      <c r="G12" t="s">
        <v>25</v>
      </c>
      <c r="H12" s="3"/>
      <c r="I12" s="3"/>
      <c r="J12" s="3"/>
      <c r="K12" s="3"/>
      <c r="L12" s="3"/>
      <c r="M12" s="3"/>
      <c r="N12" s="3"/>
      <c r="O12" s="3"/>
      <c r="BJ12">
        <f>BD13</f>
        <v>-3.04</v>
      </c>
      <c r="ED12">
        <f>DX13</f>
        <v>-3.04</v>
      </c>
    </row>
    <row r="13" spans="1:175" x14ac:dyDescent="0.25">
      <c r="A13">
        <v>8</v>
      </c>
      <c r="B13" s="11">
        <v>6</v>
      </c>
      <c r="C13" s="1">
        <v>5.0999999999999996</v>
      </c>
      <c r="D13" t="s">
        <v>3</v>
      </c>
      <c r="F13" s="8">
        <v>0</v>
      </c>
      <c r="G13" t="s">
        <v>19</v>
      </c>
      <c r="I13" t="s">
        <v>15</v>
      </c>
      <c r="J13" t="s">
        <v>16</v>
      </c>
      <c r="K13" t="s">
        <v>18</v>
      </c>
      <c r="L13" t="s">
        <v>17</v>
      </c>
      <c r="M13" t="s">
        <v>20</v>
      </c>
      <c r="O13" t="s">
        <v>15</v>
      </c>
      <c r="P13" t="s">
        <v>16</v>
      </c>
      <c r="Q13" t="s">
        <v>18</v>
      </c>
      <c r="R13" t="s">
        <v>17</v>
      </c>
      <c r="S13" t="s">
        <v>20</v>
      </c>
      <c r="U13" t="s">
        <v>15</v>
      </c>
      <c r="V13" t="s">
        <v>16</v>
      </c>
      <c r="W13" t="s">
        <v>18</v>
      </c>
      <c r="X13" t="s">
        <v>17</v>
      </c>
      <c r="Y13" t="s">
        <v>20</v>
      </c>
      <c r="AA13" t="s">
        <v>15</v>
      </c>
      <c r="AB13" t="s">
        <v>16</v>
      </c>
      <c r="AC13" t="s">
        <v>18</v>
      </c>
      <c r="AD13" t="s">
        <v>17</v>
      </c>
      <c r="AE13" t="s">
        <v>20</v>
      </c>
      <c r="AF13">
        <f>Z14</f>
        <v>-3.04</v>
      </c>
      <c r="AG13" t="s">
        <v>15</v>
      </c>
      <c r="AH13" t="s">
        <v>16</v>
      </c>
      <c r="AI13" t="s">
        <v>18</v>
      </c>
      <c r="AJ13" t="s">
        <v>17</v>
      </c>
      <c r="AK13" t="s">
        <v>20</v>
      </c>
      <c r="AM13" t="s">
        <v>15</v>
      </c>
      <c r="AN13" t="s">
        <v>16</v>
      </c>
      <c r="AO13" t="s">
        <v>18</v>
      </c>
      <c r="AP13" t="s">
        <v>17</v>
      </c>
      <c r="AQ13" t="s">
        <v>20</v>
      </c>
      <c r="AR13">
        <f>AL14</f>
        <v>-3.04</v>
      </c>
      <c r="AS13" t="s">
        <v>15</v>
      </c>
      <c r="AT13" t="s">
        <v>16</v>
      </c>
      <c r="AU13" t="s">
        <v>18</v>
      </c>
      <c r="AV13" t="s">
        <v>17</v>
      </c>
      <c r="AW13" t="s">
        <v>20</v>
      </c>
      <c r="AY13" t="s">
        <v>15</v>
      </c>
      <c r="AZ13" t="s">
        <v>16</v>
      </c>
      <c r="BA13" t="s">
        <v>18</v>
      </c>
      <c r="BB13" t="s">
        <v>17</v>
      </c>
      <c r="BC13" t="s">
        <v>20</v>
      </c>
      <c r="BD13">
        <f>AX14</f>
        <v>-3.04</v>
      </c>
      <c r="BE13" t="s">
        <v>15</v>
      </c>
      <c r="BF13" t="s">
        <v>16</v>
      </c>
      <c r="BG13" t="s">
        <v>18</v>
      </c>
      <c r="BH13" t="s">
        <v>17</v>
      </c>
      <c r="BI13" t="s">
        <v>20</v>
      </c>
      <c r="BJ13">
        <f>BD14</f>
        <v>38.630000000000003</v>
      </c>
      <c r="BK13" t="s">
        <v>15</v>
      </c>
      <c r="BL13" t="s">
        <v>16</v>
      </c>
      <c r="BM13" t="s">
        <v>18</v>
      </c>
      <c r="BN13" t="s">
        <v>17</v>
      </c>
      <c r="BO13" t="s">
        <v>20</v>
      </c>
      <c r="BP13">
        <f>BJ12</f>
        <v>-3.04</v>
      </c>
      <c r="BQ13" t="s">
        <v>15</v>
      </c>
      <c r="BR13" t="s">
        <v>16</v>
      </c>
      <c r="BS13" t="s">
        <v>18</v>
      </c>
      <c r="BT13" t="s">
        <v>17</v>
      </c>
      <c r="BU13" t="s">
        <v>20</v>
      </c>
      <c r="BW13" t="s">
        <v>15</v>
      </c>
      <c r="BX13" t="s">
        <v>16</v>
      </c>
      <c r="BY13" t="s">
        <v>18</v>
      </c>
      <c r="BZ13" t="s">
        <v>17</v>
      </c>
      <c r="CA13" t="s">
        <v>20</v>
      </c>
      <c r="CC13" t="s">
        <v>15</v>
      </c>
      <c r="CD13" t="s">
        <v>16</v>
      </c>
      <c r="CE13" t="s">
        <v>18</v>
      </c>
      <c r="CF13" t="s">
        <v>17</v>
      </c>
      <c r="CG13" t="s">
        <v>20</v>
      </c>
      <c r="CI13" t="s">
        <v>15</v>
      </c>
      <c r="CJ13" t="s">
        <v>16</v>
      </c>
      <c r="CK13" t="s">
        <v>18</v>
      </c>
      <c r="CL13" t="s">
        <v>17</v>
      </c>
      <c r="CM13" t="s">
        <v>20</v>
      </c>
      <c r="CO13" t="s">
        <v>15</v>
      </c>
      <c r="CP13" t="s">
        <v>16</v>
      </c>
      <c r="CQ13" t="s">
        <v>18</v>
      </c>
      <c r="CR13" t="s">
        <v>17</v>
      </c>
      <c r="CS13" t="s">
        <v>20</v>
      </c>
      <c r="CU13" t="s">
        <v>15</v>
      </c>
      <c r="CV13" t="s">
        <v>16</v>
      </c>
      <c r="CW13" t="s">
        <v>18</v>
      </c>
      <c r="CX13" t="s">
        <v>17</v>
      </c>
      <c r="CY13" t="s">
        <v>20</v>
      </c>
      <c r="DA13" t="s">
        <v>15</v>
      </c>
      <c r="DB13" t="s">
        <v>16</v>
      </c>
      <c r="DC13" t="s">
        <v>18</v>
      </c>
      <c r="DD13" t="s">
        <v>17</v>
      </c>
      <c r="DE13" t="s">
        <v>20</v>
      </c>
      <c r="DG13" t="s">
        <v>15</v>
      </c>
      <c r="DH13" t="s">
        <v>16</v>
      </c>
      <c r="DI13" t="s">
        <v>18</v>
      </c>
      <c r="DJ13" t="s">
        <v>17</v>
      </c>
      <c r="DK13" t="s">
        <v>20</v>
      </c>
      <c r="DM13" t="s">
        <v>15</v>
      </c>
      <c r="DN13" t="s">
        <v>16</v>
      </c>
      <c r="DO13" t="s">
        <v>18</v>
      </c>
      <c r="DP13" t="s">
        <v>17</v>
      </c>
      <c r="DQ13" t="s">
        <v>20</v>
      </c>
      <c r="DS13" t="s">
        <v>15</v>
      </c>
      <c r="DT13" t="s">
        <v>16</v>
      </c>
      <c r="DU13" t="s">
        <v>18</v>
      </c>
      <c r="DV13" t="s">
        <v>17</v>
      </c>
      <c r="DW13" t="s">
        <v>20</v>
      </c>
      <c r="DX13">
        <f>DR14</f>
        <v>-3.04</v>
      </c>
      <c r="DY13" t="s">
        <v>15</v>
      </c>
      <c r="DZ13" t="s">
        <v>16</v>
      </c>
      <c r="EA13" t="s">
        <v>18</v>
      </c>
      <c r="EB13" t="s">
        <v>17</v>
      </c>
      <c r="EC13" t="s">
        <v>20</v>
      </c>
      <c r="ED13">
        <f>DX14</f>
        <v>-50.32</v>
      </c>
      <c r="EE13" t="s">
        <v>15</v>
      </c>
      <c r="EF13" t="s">
        <v>16</v>
      </c>
      <c r="EG13" t="s">
        <v>18</v>
      </c>
      <c r="EH13" t="s">
        <v>17</v>
      </c>
      <c r="EI13" t="s">
        <v>20</v>
      </c>
      <c r="EJ13">
        <f>ED12</f>
        <v>-3.04</v>
      </c>
      <c r="EK13" t="s">
        <v>15</v>
      </c>
      <c r="EL13" t="s">
        <v>16</v>
      </c>
      <c r="EM13" t="s">
        <v>18</v>
      </c>
      <c r="EN13" t="s">
        <v>17</v>
      </c>
      <c r="EO13" t="s">
        <v>20</v>
      </c>
      <c r="EQ13" t="s">
        <v>15</v>
      </c>
      <c r="ER13" t="s">
        <v>16</v>
      </c>
      <c r="ES13" t="s">
        <v>18</v>
      </c>
      <c r="ET13" t="s">
        <v>17</v>
      </c>
      <c r="EU13" t="s">
        <v>20</v>
      </c>
      <c r="EW13" t="s">
        <v>15</v>
      </c>
      <c r="EX13" t="s">
        <v>16</v>
      </c>
      <c r="EY13" t="s">
        <v>18</v>
      </c>
      <c r="EZ13" t="s">
        <v>17</v>
      </c>
      <c r="FA13" t="s">
        <v>20</v>
      </c>
      <c r="FC13" t="s">
        <v>15</v>
      </c>
      <c r="FD13" t="s">
        <v>16</v>
      </c>
      <c r="FE13" t="s">
        <v>18</v>
      </c>
      <c r="FF13" t="s">
        <v>17</v>
      </c>
      <c r="FG13" t="s">
        <v>20</v>
      </c>
      <c r="FI13" t="s">
        <v>15</v>
      </c>
      <c r="FJ13" t="s">
        <v>16</v>
      </c>
      <c r="FK13" t="s">
        <v>18</v>
      </c>
      <c r="FL13" t="s">
        <v>17</v>
      </c>
      <c r="FM13" t="s">
        <v>20</v>
      </c>
      <c r="FO13" t="s">
        <v>15</v>
      </c>
      <c r="FP13" t="s">
        <v>16</v>
      </c>
      <c r="FQ13" t="s">
        <v>18</v>
      </c>
      <c r="FR13" t="s">
        <v>17</v>
      </c>
      <c r="FS13" t="s">
        <v>20</v>
      </c>
    </row>
    <row r="14" spans="1:175" x14ac:dyDescent="0.25">
      <c r="A14">
        <v>9</v>
      </c>
      <c r="B14" s="11">
        <v>7</v>
      </c>
      <c r="C14" s="1">
        <v>15.56</v>
      </c>
      <c r="D14" t="s">
        <v>1</v>
      </c>
      <c r="F14" s="3">
        <v>1</v>
      </c>
      <c r="G14" t="s">
        <v>11</v>
      </c>
      <c r="H14">
        <f>C6</f>
        <v>-3.04</v>
      </c>
      <c r="N14">
        <f>H14</f>
        <v>-3.04</v>
      </c>
      <c r="T14">
        <f>N14</f>
        <v>-3.04</v>
      </c>
      <c r="Z14">
        <f>T14</f>
        <v>-3.04</v>
      </c>
      <c r="AF14">
        <f>Z15</f>
        <v>38.630000000000003</v>
      </c>
      <c r="AL14">
        <f>AF13</f>
        <v>-3.04</v>
      </c>
      <c r="AR14">
        <f>AL15</f>
        <v>38.630000000000003</v>
      </c>
      <c r="AX14">
        <f>AR13</f>
        <v>-3.04</v>
      </c>
      <c r="BD14">
        <f>AX15</f>
        <v>38.630000000000003</v>
      </c>
      <c r="BJ14">
        <f>BD15</f>
        <v>5.0999999999999996</v>
      </c>
      <c r="BP14">
        <f>BJ13</f>
        <v>38.630000000000003</v>
      </c>
      <c r="BV14">
        <f>BP13</f>
        <v>-3.04</v>
      </c>
      <c r="CB14">
        <f>BV14</f>
        <v>-3.04</v>
      </c>
      <c r="CH14">
        <f>CB14</f>
        <v>-3.04</v>
      </c>
      <c r="CN14">
        <f>CH14</f>
        <v>-3.04</v>
      </c>
      <c r="CT14">
        <f>CN14</f>
        <v>-3.04</v>
      </c>
      <c r="CZ14">
        <f>CT14</f>
        <v>-3.04</v>
      </c>
      <c r="DF14">
        <f>CZ14</f>
        <v>-3.04</v>
      </c>
      <c r="DL14">
        <f>DF14</f>
        <v>-3.04</v>
      </c>
      <c r="DR14">
        <f>DL14</f>
        <v>-3.04</v>
      </c>
      <c r="DX14">
        <f>DR15</f>
        <v>-50.32</v>
      </c>
      <c r="ED14">
        <f>DX15</f>
        <v>-6.95</v>
      </c>
      <c r="EJ14">
        <f>ED13</f>
        <v>-50.32</v>
      </c>
      <c r="EP14">
        <f>EJ13</f>
        <v>-3.04</v>
      </c>
      <c r="EV14">
        <f>EP14</f>
        <v>-3.04</v>
      </c>
      <c r="FB14">
        <f>EV14</f>
        <v>-3.04</v>
      </c>
      <c r="FH14">
        <f>FB14</f>
        <v>-3.04</v>
      </c>
      <c r="FN14">
        <f>FH14</f>
        <v>-3.04</v>
      </c>
    </row>
    <row r="15" spans="1:175" x14ac:dyDescent="0.25">
      <c r="A15">
        <v>10</v>
      </c>
      <c r="B15" s="11">
        <v>8</v>
      </c>
      <c r="C15" s="1">
        <v>-37.82</v>
      </c>
      <c r="D15" t="s">
        <v>4</v>
      </c>
      <c r="F15" s="3">
        <v>2</v>
      </c>
      <c r="G15" t="s">
        <v>12</v>
      </c>
      <c r="H15" s="2">
        <f>C7</f>
        <v>-7.46</v>
      </c>
      <c r="N15" s="2">
        <f>H16</f>
        <v>5.0999999999999996</v>
      </c>
      <c r="T15">
        <f>N16</f>
        <v>-16.12</v>
      </c>
      <c r="Z15">
        <f>T16</f>
        <v>38.630000000000003</v>
      </c>
      <c r="AF15">
        <f>Z16</f>
        <v>26.17</v>
      </c>
      <c r="AL15">
        <f>AF14</f>
        <v>38.630000000000003</v>
      </c>
      <c r="AR15">
        <f>AL16</f>
        <v>38.630000000000003</v>
      </c>
      <c r="AX15">
        <f>AR14</f>
        <v>38.630000000000003</v>
      </c>
      <c r="BD15">
        <f>AX16</f>
        <v>5.0999999999999996</v>
      </c>
      <c r="BJ15">
        <f>BD16</f>
        <v>15.56</v>
      </c>
      <c r="BP15">
        <f>BJ14</f>
        <v>5.0999999999999996</v>
      </c>
      <c r="BV15">
        <f>BP14</f>
        <v>38.630000000000003</v>
      </c>
      <c r="CB15">
        <f>BV16</f>
        <v>-37.82</v>
      </c>
      <c r="CH15">
        <f>CB16</f>
        <v>26.81</v>
      </c>
      <c r="CN15">
        <f>CH16</f>
        <v>-37.82</v>
      </c>
      <c r="CT15">
        <f>CN16</f>
        <v>17.670000000000002</v>
      </c>
      <c r="CZ15">
        <f>CT16</f>
        <v>70.569999999999993</v>
      </c>
      <c r="DF15">
        <f>CZ16</f>
        <v>-5.47</v>
      </c>
      <c r="DL15">
        <f>DF16</f>
        <v>5.45</v>
      </c>
      <c r="DR15">
        <f>DL16</f>
        <v>-50.32</v>
      </c>
      <c r="DX15">
        <f>DR16</f>
        <v>-6.95</v>
      </c>
      <c r="ED15">
        <f>DX16</f>
        <v>-27.16</v>
      </c>
      <c r="EJ15">
        <f>ED14</f>
        <v>-6.95</v>
      </c>
      <c r="EP15">
        <f>EJ14</f>
        <v>-50.32</v>
      </c>
      <c r="EV15">
        <f>EP16</f>
        <v>47.37</v>
      </c>
      <c r="FB15">
        <f>EV16</f>
        <v>-16.13</v>
      </c>
      <c r="FH15">
        <f>FB16</f>
        <v>6.32</v>
      </c>
      <c r="FN15">
        <f>FH16</f>
        <v>-5.56</v>
      </c>
    </row>
    <row r="16" spans="1:175" x14ac:dyDescent="0.25">
      <c r="A16">
        <v>11</v>
      </c>
      <c r="B16" s="11">
        <v>9</v>
      </c>
      <c r="C16" s="1">
        <v>26.81</v>
      </c>
      <c r="D16" t="s">
        <v>1</v>
      </c>
      <c r="F16" s="8">
        <v>3</v>
      </c>
      <c r="G16" t="s">
        <v>13</v>
      </c>
      <c r="H16">
        <f>C8</f>
        <v>5.0999999999999996</v>
      </c>
      <c r="N16">
        <f>H17</f>
        <v>-16.12</v>
      </c>
      <c r="T16">
        <f>C10</f>
        <v>38.630000000000003</v>
      </c>
      <c r="Z16">
        <f>C11</f>
        <v>26.17</v>
      </c>
      <c r="AF16">
        <f>C12</f>
        <v>38.630000000000003</v>
      </c>
      <c r="AL16">
        <f>AF16</f>
        <v>38.630000000000003</v>
      </c>
      <c r="AR16">
        <f>C13</f>
        <v>5.0999999999999996</v>
      </c>
      <c r="AX16">
        <f>AR16</f>
        <v>5.0999999999999996</v>
      </c>
      <c r="BD16">
        <f>C14</f>
        <v>15.56</v>
      </c>
      <c r="BJ16">
        <f>C15</f>
        <v>-37.82</v>
      </c>
      <c r="BP16">
        <f>BJ16</f>
        <v>-37.82</v>
      </c>
      <c r="BV16">
        <f>BP16</f>
        <v>-37.82</v>
      </c>
      <c r="CB16">
        <f>C16</f>
        <v>26.81</v>
      </c>
      <c r="CH16">
        <f>C17</f>
        <v>-37.82</v>
      </c>
      <c r="CN16">
        <f>C19</f>
        <v>17.670000000000002</v>
      </c>
      <c r="CT16">
        <f>C20</f>
        <v>70.569999999999993</v>
      </c>
      <c r="CZ16">
        <f>C21</f>
        <v>-5.47</v>
      </c>
      <c r="DF16">
        <f>C22</f>
        <v>5.45</v>
      </c>
      <c r="DL16">
        <f>C23</f>
        <v>-50.32</v>
      </c>
      <c r="DR16">
        <f>C24</f>
        <v>-6.95</v>
      </c>
      <c r="DX16">
        <f>C25</f>
        <v>-27.16</v>
      </c>
      <c r="ED16">
        <f>C26</f>
        <v>47.37</v>
      </c>
      <c r="EJ16">
        <f>ED16</f>
        <v>47.37</v>
      </c>
      <c r="EP16">
        <f>EJ16</f>
        <v>47.37</v>
      </c>
      <c r="EV16">
        <f>C27</f>
        <v>-16.13</v>
      </c>
      <c r="FB16">
        <f>C28</f>
        <v>6.32</v>
      </c>
      <c r="FH16">
        <f>C29</f>
        <v>-5.56</v>
      </c>
      <c r="FN16">
        <f>C30</f>
        <v>27.88</v>
      </c>
    </row>
    <row r="17" spans="1:175" x14ac:dyDescent="0.25">
      <c r="A17">
        <v>12</v>
      </c>
      <c r="B17" s="11">
        <v>10</v>
      </c>
      <c r="C17" s="1">
        <v>-37.82</v>
      </c>
      <c r="D17" t="s">
        <v>1</v>
      </c>
      <c r="F17" s="9">
        <v>4</v>
      </c>
      <c r="G17" t="s">
        <v>14</v>
      </c>
      <c r="H17">
        <f>C9</f>
        <v>-16.12</v>
      </c>
      <c r="I17">
        <f>ABS(H15-H16)</f>
        <v>12.559999999999999</v>
      </c>
      <c r="J17">
        <f>ABS(H14-H15)</f>
        <v>4.42</v>
      </c>
      <c r="K17" t="str">
        <f>IF(ABS(I17)&gt;=ABS(J17),"цикл","неЗамкн")</f>
        <v>цикл</v>
      </c>
      <c r="L17">
        <f>ABS(H15-H14)</f>
        <v>4.42</v>
      </c>
      <c r="M17">
        <f>AVERAGE(H14:H15)</f>
        <v>-5.25</v>
      </c>
      <c r="O17">
        <f>ABS(N15-N16)</f>
        <v>21.22</v>
      </c>
      <c r="P17">
        <f>ABS(N14-N15)</f>
        <v>8.14</v>
      </c>
      <c r="Q17" t="str">
        <f>IF(ABS(O17)&gt;=ABS(P17),"цикл","неЗамкн")</f>
        <v>цикл</v>
      </c>
      <c r="R17">
        <f>ABS(N15-N14)</f>
        <v>8.14</v>
      </c>
      <c r="S17">
        <f>AVERAGE(N14:N15)</f>
        <v>1.0299999999999998</v>
      </c>
      <c r="U17">
        <f>ABS(T15-T16)</f>
        <v>54.75</v>
      </c>
      <c r="V17">
        <f>ABS(T14-T15)</f>
        <v>13.080000000000002</v>
      </c>
      <c r="W17" t="str">
        <f>IF(ABS(U17)&gt;=ABS(V17),"цикл","неЗамкн")</f>
        <v>цикл</v>
      </c>
      <c r="X17">
        <f>ABS(T15-T14)</f>
        <v>13.080000000000002</v>
      </c>
      <c r="Y17">
        <f>AVERAGE(T14:T15)</f>
        <v>-9.58</v>
      </c>
      <c r="AA17">
        <f>ABS(Z15-Z16)</f>
        <v>12.46</v>
      </c>
      <c r="AB17">
        <f>ABS(Z14-Z15)</f>
        <v>41.67</v>
      </c>
      <c r="AC17" t="str">
        <f>IF(ABS(AA17)&gt;=ABS(AB17),"цикл","неЗамкн")</f>
        <v>неЗамкн</v>
      </c>
      <c r="AD17">
        <f>ABS(Z15-Z14)</f>
        <v>41.67</v>
      </c>
      <c r="AE17">
        <f>AVERAGE(Z14:Z15)</f>
        <v>17.795000000000002</v>
      </c>
      <c r="AG17">
        <f>ABS(AF15-AF16)</f>
        <v>12.46</v>
      </c>
      <c r="AH17">
        <f>ABS(AF14-AF15)</f>
        <v>12.46</v>
      </c>
      <c r="AI17" t="str">
        <f>IF(ABS(AG17)&gt;=ABS(AH17),"цикл","неЗамкн")</f>
        <v>цикл</v>
      </c>
      <c r="AJ17">
        <f>ABS(AF15-AF14)</f>
        <v>12.46</v>
      </c>
      <c r="AK17">
        <f>AVERAGE(AF14:AF15)</f>
        <v>32.400000000000006</v>
      </c>
      <c r="AM17">
        <f>ABS(AL15-AL16)</f>
        <v>0</v>
      </c>
      <c r="AN17">
        <f>ABS(AL14-AL15)</f>
        <v>41.67</v>
      </c>
      <c r="AO17" t="str">
        <f>IF(ABS(AM17)&gt;=ABS(AN17),"цикл","неЗамкн")</f>
        <v>неЗамкн</v>
      </c>
      <c r="AP17">
        <f>ABS(AL15-AL14)</f>
        <v>41.67</v>
      </c>
      <c r="AQ17">
        <f>AVERAGE(AL14:AL15)</f>
        <v>17.795000000000002</v>
      </c>
      <c r="AS17">
        <f>ABS(AR15-AR16)</f>
        <v>33.53</v>
      </c>
      <c r="AT17">
        <f>ABS(AR14-AR15)</f>
        <v>0</v>
      </c>
      <c r="AU17" t="str">
        <f>IF(ABS(AS17)&gt;=ABS(AT17),"цикл","неЗамкн")</f>
        <v>цикл</v>
      </c>
      <c r="AV17">
        <f>ABS(AR15-AR14)</f>
        <v>0</v>
      </c>
      <c r="AW17">
        <f>AVERAGE(AR14:AR15)</f>
        <v>38.630000000000003</v>
      </c>
      <c r="AY17">
        <f>ABS(AX15-AX16)</f>
        <v>33.53</v>
      </c>
      <c r="AZ17">
        <f>ABS(AX14-AX15)</f>
        <v>41.67</v>
      </c>
      <c r="BA17" t="str">
        <f>IF(ABS(AY17)&gt;=ABS(AZ17),"цикл","неЗамкн")</f>
        <v>неЗамкн</v>
      </c>
      <c r="BB17">
        <f>ABS(AX15-AX14)</f>
        <v>41.67</v>
      </c>
      <c r="BC17">
        <f>AVERAGE(AX14:AX15)</f>
        <v>17.795000000000002</v>
      </c>
      <c r="BE17">
        <f>ABS(BD15-BD16)</f>
        <v>10.46</v>
      </c>
      <c r="BF17">
        <f>ABS(BD14-BD15)</f>
        <v>33.53</v>
      </c>
      <c r="BG17" t="str">
        <f>IF(ABS(BE17)&gt;=ABS(BF17),"цикл","неЗамкн")</f>
        <v>неЗамкн</v>
      </c>
      <c r="BH17">
        <f>ABS(BD15-BD14)</f>
        <v>33.53</v>
      </c>
      <c r="BI17">
        <f>AVERAGE(BD14:BD15)</f>
        <v>21.865000000000002</v>
      </c>
      <c r="BK17">
        <f>ABS(BJ15-BJ16)</f>
        <v>53.38</v>
      </c>
      <c r="BL17">
        <f>ABS(BJ14-BJ15)</f>
        <v>10.46</v>
      </c>
      <c r="BM17" t="str">
        <f>IF(ABS(BK17)&gt;=ABS(BL17),"цикл","неЗамкн")</f>
        <v>цикл</v>
      </c>
      <c r="BN17">
        <f>ABS(BJ15-BJ14)</f>
        <v>10.46</v>
      </c>
      <c r="BO17">
        <f>AVERAGE(BJ14:BJ15)</f>
        <v>10.33</v>
      </c>
      <c r="BQ17">
        <f>ABS(BP15-BP16)</f>
        <v>42.92</v>
      </c>
      <c r="BR17">
        <f>ABS(BP14-BP15)</f>
        <v>33.53</v>
      </c>
      <c r="BS17" t="str">
        <f>IF(ABS(BQ17)&gt;=ABS(BR17),"цикл","неЗамкн")</f>
        <v>цикл</v>
      </c>
      <c r="BT17">
        <f>ABS(BP15-BP14)</f>
        <v>33.53</v>
      </c>
      <c r="BU17">
        <f>AVERAGE(BP14:BP15)</f>
        <v>21.865000000000002</v>
      </c>
      <c r="BW17">
        <f>ABS(BV15-BV16)</f>
        <v>76.45</v>
      </c>
      <c r="BX17">
        <f>ABS(BV14-BV15)</f>
        <v>41.67</v>
      </c>
      <c r="BY17" t="str">
        <f>IF(ABS(BW17)&gt;=ABS(BX17),"цикл","неЗамкн")</f>
        <v>цикл</v>
      </c>
      <c r="BZ17">
        <f>ABS(BV15-BV14)</f>
        <v>41.67</v>
      </c>
      <c r="CA17">
        <f>AVERAGE(BV14:BV15)</f>
        <v>17.795000000000002</v>
      </c>
      <c r="CC17">
        <f>ABS(CB15-CB16)</f>
        <v>64.63</v>
      </c>
      <c r="CD17">
        <f>ABS(CB14-CB15)</f>
        <v>34.78</v>
      </c>
      <c r="CE17" t="str">
        <f>IF(ABS(CC17)&gt;=ABS(CD17),"цикл","неЗамкн")</f>
        <v>цикл</v>
      </c>
      <c r="CF17">
        <f>ABS(CB15-CB14)</f>
        <v>34.78</v>
      </c>
      <c r="CG17">
        <f>AVERAGE(CB14:CB15)</f>
        <v>-20.43</v>
      </c>
      <c r="CI17">
        <f>ABS(CH15-CH16)</f>
        <v>64.63</v>
      </c>
      <c r="CJ17">
        <f>ABS(CH14-CH15)</f>
        <v>29.849999999999998</v>
      </c>
      <c r="CK17" t="str">
        <f>IF(ABS(CI17)&gt;=ABS(CJ17),"цикл","неЗамкн")</f>
        <v>цикл</v>
      </c>
      <c r="CL17">
        <f>ABS(CH15-CH14)</f>
        <v>29.849999999999998</v>
      </c>
      <c r="CM17">
        <f>AVERAGE(CH14:CH15)</f>
        <v>11.885</v>
      </c>
      <c r="CO17">
        <f>ABS(CN15-CN16)</f>
        <v>55.49</v>
      </c>
      <c r="CP17">
        <f>ABS(CN14-CN15)</f>
        <v>34.78</v>
      </c>
      <c r="CQ17" t="str">
        <f>IF(ABS(CO17)&gt;=ABS(CP17),"цикл","неЗамкн")</f>
        <v>цикл</v>
      </c>
      <c r="CR17">
        <f>ABS(CN15-CN14)</f>
        <v>34.78</v>
      </c>
      <c r="CS17">
        <f>AVERAGE(CN14:CN15)</f>
        <v>-20.43</v>
      </c>
      <c r="CU17">
        <f>ABS(CT15-CT16)</f>
        <v>52.899999999999991</v>
      </c>
      <c r="CV17">
        <f>ABS(CT14-CT15)</f>
        <v>20.71</v>
      </c>
      <c r="CW17" t="str">
        <f>IF(ABS(CU17)&gt;=ABS(CV17),"цикл","неЗамкн")</f>
        <v>цикл</v>
      </c>
      <c r="CX17">
        <f>ABS(CT15-CT14)</f>
        <v>20.71</v>
      </c>
      <c r="CY17">
        <f>AVERAGE(CT14:CT15)</f>
        <v>7.3150000000000013</v>
      </c>
      <c r="DA17">
        <f>ABS(CZ15-CZ16)</f>
        <v>76.039999999999992</v>
      </c>
      <c r="DB17">
        <f>ABS(CZ14-CZ15)</f>
        <v>73.61</v>
      </c>
      <c r="DC17" t="str">
        <f>IF(ABS(DA17)&gt;=ABS(DB17),"цикл","неЗамкн")</f>
        <v>цикл</v>
      </c>
      <c r="DD17">
        <f>ABS(CZ15-CZ14)</f>
        <v>73.61</v>
      </c>
      <c r="DE17">
        <f>AVERAGE(CZ14:CZ15)</f>
        <v>33.764999999999993</v>
      </c>
      <c r="DG17">
        <f>ABS(DF15-DF16)</f>
        <v>10.92</v>
      </c>
      <c r="DH17">
        <f>ABS(DF14-DF15)</f>
        <v>2.4299999999999997</v>
      </c>
      <c r="DI17" t="str">
        <f>IF(ABS(DG17)&gt;=ABS(DH17),"цикл","неЗамкн")</f>
        <v>цикл</v>
      </c>
      <c r="DJ17">
        <f>ABS(DF15-DF14)</f>
        <v>2.4299999999999997</v>
      </c>
      <c r="DK17">
        <f>AVERAGE(DF14:DF15)</f>
        <v>-4.2549999999999999</v>
      </c>
      <c r="DM17">
        <f>ABS(DL15-DL16)</f>
        <v>55.77</v>
      </c>
      <c r="DN17">
        <f>ABS(DL14-DL15)</f>
        <v>8.49</v>
      </c>
      <c r="DO17" t="str">
        <f>IF(ABS(DM17)&gt;=ABS(DN17),"цикл","неЗамкн")</f>
        <v>цикл</v>
      </c>
      <c r="DP17">
        <f>ABS(DL15-DL14)</f>
        <v>8.49</v>
      </c>
      <c r="DQ17">
        <f>AVERAGE(DL14:DL15)</f>
        <v>1.2050000000000001</v>
      </c>
      <c r="DS17">
        <f>ABS(DR15-DR16)</f>
        <v>43.37</v>
      </c>
      <c r="DT17">
        <f>ABS(DR14-DR15)</f>
        <v>47.28</v>
      </c>
      <c r="DU17" t="str">
        <f>IF(ABS(DS17)&gt;=ABS(DT17),"цикл","неЗамкн")</f>
        <v>неЗамкн</v>
      </c>
      <c r="DV17">
        <f>ABS(DR15-DR14)</f>
        <v>47.28</v>
      </c>
      <c r="DW17">
        <f>AVERAGE(DR14:DR15)</f>
        <v>-26.68</v>
      </c>
      <c r="DY17">
        <f>ABS(DX15-DX16)</f>
        <v>20.21</v>
      </c>
      <c r="DZ17">
        <f>ABS(DX14-DX15)</f>
        <v>43.37</v>
      </c>
      <c r="EA17" t="str">
        <f>IF(ABS(DY17)&gt;=ABS(DZ17),"цикл","неЗамкн")</f>
        <v>неЗамкн</v>
      </c>
      <c r="EB17">
        <f>ABS(DX15-DX14)</f>
        <v>43.37</v>
      </c>
      <c r="EC17">
        <f>AVERAGE(DX14:DX15)</f>
        <v>-28.635000000000002</v>
      </c>
      <c r="EE17">
        <f>ABS(ED15-ED16)</f>
        <v>74.53</v>
      </c>
      <c r="EF17">
        <f>ABS(ED14-ED15)</f>
        <v>20.21</v>
      </c>
      <c r="EG17" t="str">
        <f>IF(ABS(EE17)&gt;=ABS(EF17),"цикл","неЗамкн")</f>
        <v>цикл</v>
      </c>
      <c r="EH17">
        <f>ABS(ED15-ED14)</f>
        <v>20.21</v>
      </c>
      <c r="EI17">
        <f>AVERAGE(ED14:ED15)</f>
        <v>-17.055</v>
      </c>
      <c r="EK17">
        <f>ABS(EJ15-EJ16)</f>
        <v>54.32</v>
      </c>
      <c r="EL17">
        <f>ABS(EJ14-EJ15)</f>
        <v>43.37</v>
      </c>
      <c r="EM17" t="str">
        <f>IF(ABS(EK17)&gt;=ABS(EL17),"цикл","неЗамкн")</f>
        <v>цикл</v>
      </c>
      <c r="EN17">
        <f>ABS(EJ15-EJ14)</f>
        <v>43.37</v>
      </c>
      <c r="EO17">
        <f>AVERAGE(EJ14:EJ15)</f>
        <v>-28.635000000000002</v>
      </c>
      <c r="EQ17">
        <f>ABS(EP15-EP16)</f>
        <v>97.69</v>
      </c>
      <c r="ER17">
        <f>ABS(EP14-EP15)</f>
        <v>47.28</v>
      </c>
      <c r="ES17" t="str">
        <f>IF(ABS(EQ17)&gt;=ABS(ER17),"цикл","неЗамкн")</f>
        <v>цикл</v>
      </c>
      <c r="ET17">
        <f>ABS(EP15-EP14)</f>
        <v>47.28</v>
      </c>
      <c r="EU17">
        <f>AVERAGE(EP14:EP15)</f>
        <v>-26.68</v>
      </c>
      <c r="EW17">
        <f>ABS(EV15-EV16)</f>
        <v>63.5</v>
      </c>
      <c r="EX17">
        <f>ABS(EV14-EV15)</f>
        <v>50.41</v>
      </c>
      <c r="EY17" t="str">
        <f>IF(ABS(EW17)&gt;=ABS(EX17),"цикл","неЗамкн")</f>
        <v>цикл</v>
      </c>
      <c r="EZ17">
        <f>ABS(EV15-EV14)</f>
        <v>50.41</v>
      </c>
      <c r="FA17">
        <f>AVERAGE(EV14:EV15)</f>
        <v>22.164999999999999</v>
      </c>
      <c r="FC17">
        <f>ABS(FB15-FB16)</f>
        <v>22.45</v>
      </c>
      <c r="FD17">
        <f>ABS(FB14-FB15)</f>
        <v>13.09</v>
      </c>
      <c r="FE17" t="str">
        <f>IF(ABS(FC17)&gt;=ABS(FD17),"цикл","неЗамкн")</f>
        <v>цикл</v>
      </c>
      <c r="FF17">
        <f>ABS(FB15-FB14)</f>
        <v>13.09</v>
      </c>
      <c r="FG17">
        <f>AVERAGE(FB14:FB15)</f>
        <v>-9.5849999999999991</v>
      </c>
      <c r="FI17">
        <f>ABS(FH15-FH16)</f>
        <v>11.879999999999999</v>
      </c>
      <c r="FJ17">
        <f>ABS(FH14-FH15)</f>
        <v>9.36</v>
      </c>
      <c r="FK17" t="str">
        <f>IF(ABS(FI17)&gt;=ABS(FJ17),"цикл","неЗамкн")</f>
        <v>цикл</v>
      </c>
      <c r="FL17">
        <f>ABS(FH15-FH14)</f>
        <v>9.36</v>
      </c>
      <c r="FM17">
        <f>AVERAGE(FH14:FH15)</f>
        <v>1.6400000000000001</v>
      </c>
      <c r="FO17">
        <f>ABS(FN15-FN16)</f>
        <v>33.44</v>
      </c>
      <c r="FP17">
        <f>ABS(FN14-FN15)</f>
        <v>2.5199999999999996</v>
      </c>
      <c r="FQ17" t="str">
        <f>IF(ABS(FO17)&gt;=ABS(FP17),"цикл","неЗамкн")</f>
        <v>цикл</v>
      </c>
      <c r="FR17">
        <f>ABS(FN15-FN14)</f>
        <v>2.5199999999999996</v>
      </c>
      <c r="FS17">
        <f>AVERAGE(FN14:FN15)</f>
        <v>-4.3</v>
      </c>
    </row>
    <row r="18" spans="1:175" x14ac:dyDescent="0.25">
      <c r="A18">
        <v>13</v>
      </c>
      <c r="B18" s="11">
        <v>11</v>
      </c>
      <c r="C18" s="1">
        <v>26.81</v>
      </c>
      <c r="D18" t="s">
        <v>5</v>
      </c>
      <c r="F18" s="9">
        <v>5</v>
      </c>
      <c r="CN18" t="s">
        <v>27</v>
      </c>
      <c r="CT18" t="s">
        <v>27</v>
      </c>
      <c r="CZ18" s="7" t="s">
        <v>28</v>
      </c>
    </row>
    <row r="19" spans="1:175" x14ac:dyDescent="0.25">
      <c r="A19">
        <v>14</v>
      </c>
      <c r="B19" s="11">
        <v>12</v>
      </c>
      <c r="C19" s="1">
        <v>17.670000000000002</v>
      </c>
      <c r="D19" t="s">
        <v>1</v>
      </c>
      <c r="BJ19" t="s">
        <v>26</v>
      </c>
    </row>
    <row r="20" spans="1:175" x14ac:dyDescent="0.25">
      <c r="A20">
        <v>15</v>
      </c>
      <c r="B20" s="11">
        <v>13</v>
      </c>
      <c r="C20" s="1">
        <v>70.569999999999993</v>
      </c>
      <c r="D20" t="s">
        <v>1</v>
      </c>
    </row>
    <row r="21" spans="1:175" x14ac:dyDescent="0.25">
      <c r="A21">
        <v>16</v>
      </c>
      <c r="B21" s="11">
        <v>14</v>
      </c>
      <c r="C21" s="1">
        <v>-5.47</v>
      </c>
      <c r="D21" t="s">
        <v>6</v>
      </c>
    </row>
    <row r="22" spans="1:175" x14ac:dyDescent="0.25">
      <c r="A22">
        <v>17</v>
      </c>
      <c r="B22" s="11">
        <v>15</v>
      </c>
      <c r="C22" s="1">
        <v>5.45</v>
      </c>
      <c r="D22" t="s">
        <v>1</v>
      </c>
    </row>
    <row r="23" spans="1:175" x14ac:dyDescent="0.25">
      <c r="A23">
        <v>18</v>
      </c>
      <c r="B23" s="11">
        <v>16</v>
      </c>
      <c r="C23" s="1">
        <v>-50.32</v>
      </c>
      <c r="D23" t="s">
        <v>7</v>
      </c>
    </row>
    <row r="24" spans="1:175" x14ac:dyDescent="0.25">
      <c r="A24">
        <v>19</v>
      </c>
      <c r="B24" s="11">
        <v>17</v>
      </c>
      <c r="C24" s="1">
        <v>-6.95</v>
      </c>
      <c r="D24" t="s">
        <v>8</v>
      </c>
    </row>
    <row r="25" spans="1:175" x14ac:dyDescent="0.25">
      <c r="A25">
        <v>20</v>
      </c>
      <c r="B25" s="11">
        <v>18</v>
      </c>
      <c r="C25" s="1">
        <v>-27.16</v>
      </c>
      <c r="D25" t="s">
        <v>1</v>
      </c>
    </row>
    <row r="26" spans="1:175" x14ac:dyDescent="0.25">
      <c r="A26">
        <v>21</v>
      </c>
      <c r="B26" s="11">
        <v>19</v>
      </c>
      <c r="C26" s="1">
        <v>47.37</v>
      </c>
      <c r="D26" t="s">
        <v>9</v>
      </c>
    </row>
    <row r="27" spans="1:175" x14ac:dyDescent="0.25">
      <c r="A27">
        <v>22</v>
      </c>
      <c r="B27" s="11">
        <v>20</v>
      </c>
      <c r="C27" s="1">
        <v>-16.13</v>
      </c>
      <c r="D27" t="s">
        <v>9</v>
      </c>
    </row>
    <row r="28" spans="1:175" x14ac:dyDescent="0.25">
      <c r="A28">
        <v>23</v>
      </c>
      <c r="B28" s="11">
        <v>21</v>
      </c>
      <c r="C28" s="1">
        <v>6.32</v>
      </c>
      <c r="D28" t="s">
        <v>10</v>
      </c>
    </row>
    <row r="29" spans="1:175" x14ac:dyDescent="0.25">
      <c r="A29">
        <v>24</v>
      </c>
      <c r="B29" s="11">
        <v>22</v>
      </c>
      <c r="C29" s="1">
        <v>-5.56</v>
      </c>
      <c r="D29" t="s">
        <v>1</v>
      </c>
    </row>
    <row r="30" spans="1:175" x14ac:dyDescent="0.25">
      <c r="A30">
        <v>25</v>
      </c>
      <c r="B30" s="11">
        <v>23</v>
      </c>
      <c r="C30" s="1">
        <v>27.88</v>
      </c>
      <c r="D30" t="s">
        <v>10</v>
      </c>
      <c r="H30">
        <v>4</v>
      </c>
      <c r="N30">
        <v>4</v>
      </c>
      <c r="T30">
        <v>5</v>
      </c>
      <c r="Z30">
        <v>6</v>
      </c>
      <c r="AF30">
        <v>7</v>
      </c>
      <c r="AL30">
        <v>7</v>
      </c>
      <c r="AR30">
        <v>8</v>
      </c>
      <c r="AX30">
        <v>8</v>
      </c>
      <c r="BD30">
        <v>9</v>
      </c>
      <c r="BJ30">
        <v>10</v>
      </c>
      <c r="BP30">
        <v>10</v>
      </c>
      <c r="BV30">
        <v>10</v>
      </c>
      <c r="CB30">
        <v>11</v>
      </c>
      <c r="CH30">
        <v>12</v>
      </c>
    </row>
    <row r="32" spans="1:175" x14ac:dyDescent="0.25">
      <c r="P32" t="s">
        <v>31</v>
      </c>
      <c r="Z32" t="s">
        <v>32</v>
      </c>
      <c r="BK32">
        <f>BE33</f>
        <v>-3.04</v>
      </c>
    </row>
    <row r="33" spans="3:110" x14ac:dyDescent="0.25">
      <c r="G33">
        <v>-1</v>
      </c>
      <c r="H33" t="s">
        <v>25</v>
      </c>
      <c r="I33" s="3"/>
      <c r="J33" s="3"/>
      <c r="K33" s="3"/>
      <c r="L33" s="3"/>
      <c r="AG33">
        <f>AA34</f>
        <v>-3.04</v>
      </c>
      <c r="AS33">
        <f>AM34</f>
        <v>-3.04</v>
      </c>
      <c r="BE33">
        <f>AY34</f>
        <v>-3.04</v>
      </c>
      <c r="BK33">
        <f t="shared" ref="BK33:BK36" si="0">BE34</f>
        <v>-16.12</v>
      </c>
      <c r="BQ33">
        <f>BK32</f>
        <v>-3.04</v>
      </c>
    </row>
    <row r="34" spans="3:110" x14ac:dyDescent="0.25">
      <c r="G34" s="8">
        <v>0</v>
      </c>
      <c r="H34" t="s">
        <v>19</v>
      </c>
      <c r="J34" t="s">
        <v>15</v>
      </c>
      <c r="K34" t="s">
        <v>16</v>
      </c>
      <c r="L34" t="s">
        <v>18</v>
      </c>
      <c r="M34" t="s">
        <v>17</v>
      </c>
      <c r="N34" t="s">
        <v>20</v>
      </c>
      <c r="P34" t="s">
        <v>15</v>
      </c>
      <c r="Q34" t="s">
        <v>16</v>
      </c>
      <c r="R34" t="s">
        <v>18</v>
      </c>
      <c r="S34" t="s">
        <v>17</v>
      </c>
      <c r="T34" t="s">
        <v>20</v>
      </c>
      <c r="V34" t="s">
        <v>15</v>
      </c>
      <c r="W34" t="s">
        <v>16</v>
      </c>
      <c r="X34" t="s">
        <v>18</v>
      </c>
      <c r="Y34" t="s">
        <v>17</v>
      </c>
      <c r="Z34" t="s">
        <v>20</v>
      </c>
      <c r="AA34">
        <f>U35</f>
        <v>-3.04</v>
      </c>
      <c r="AB34" t="s">
        <v>15</v>
      </c>
      <c r="AC34" t="s">
        <v>16</v>
      </c>
      <c r="AD34" t="s">
        <v>18</v>
      </c>
      <c r="AE34" t="s">
        <v>17</v>
      </c>
      <c r="AF34" t="s">
        <v>20</v>
      </c>
      <c r="AG34">
        <f>AA35</f>
        <v>-16.12</v>
      </c>
      <c r="AH34" t="s">
        <v>15</v>
      </c>
      <c r="AI34" t="s">
        <v>16</v>
      </c>
      <c r="AJ34" t="s">
        <v>18</v>
      </c>
      <c r="AK34" t="s">
        <v>17</v>
      </c>
      <c r="AL34" t="s">
        <v>20</v>
      </c>
      <c r="AM34">
        <f>AG33</f>
        <v>-3.04</v>
      </c>
      <c r="AN34" t="s">
        <v>15</v>
      </c>
      <c r="AO34" t="s">
        <v>16</v>
      </c>
      <c r="AP34" t="s">
        <v>18</v>
      </c>
      <c r="AQ34" t="s">
        <v>17</v>
      </c>
      <c r="AR34" t="s">
        <v>20</v>
      </c>
      <c r="AS34">
        <f t="shared" ref="AS34:AS36" si="1">AM35</f>
        <v>-16.12</v>
      </c>
      <c r="AT34" t="s">
        <v>15</v>
      </c>
      <c r="AU34" t="s">
        <v>16</v>
      </c>
      <c r="AV34" t="s">
        <v>18</v>
      </c>
      <c r="AW34" t="s">
        <v>17</v>
      </c>
      <c r="AX34" t="s">
        <v>20</v>
      </c>
      <c r="AY34">
        <f>AS33</f>
        <v>-3.04</v>
      </c>
      <c r="AZ34" t="s">
        <v>15</v>
      </c>
      <c r="BA34" t="s">
        <v>16</v>
      </c>
      <c r="BB34" t="s">
        <v>18</v>
      </c>
      <c r="BC34" t="s">
        <v>17</v>
      </c>
      <c r="BD34" t="s">
        <v>20</v>
      </c>
      <c r="BE34">
        <f>AY35</f>
        <v>-16.12</v>
      </c>
      <c r="BF34" t="s">
        <v>15</v>
      </c>
      <c r="BG34" t="s">
        <v>16</v>
      </c>
      <c r="BH34" t="s">
        <v>18</v>
      </c>
      <c r="BI34" t="s">
        <v>17</v>
      </c>
      <c r="BJ34" t="s">
        <v>20</v>
      </c>
      <c r="BK34">
        <f t="shared" si="0"/>
        <v>38.630000000000003</v>
      </c>
      <c r="BL34" t="s">
        <v>15</v>
      </c>
      <c r="BM34" t="s">
        <v>16</v>
      </c>
      <c r="BN34" t="s">
        <v>18</v>
      </c>
      <c r="BO34" t="s">
        <v>17</v>
      </c>
      <c r="BP34" t="s">
        <v>20</v>
      </c>
      <c r="BQ34">
        <f t="shared" ref="BQ34:BQ36" si="2">BK33</f>
        <v>-16.12</v>
      </c>
      <c r="BR34" t="s">
        <v>15</v>
      </c>
      <c r="BS34" t="s">
        <v>16</v>
      </c>
      <c r="BT34" t="s">
        <v>18</v>
      </c>
      <c r="BU34" t="s">
        <v>17</v>
      </c>
      <c r="BV34" t="s">
        <v>20</v>
      </c>
      <c r="BW34">
        <f>BQ33</f>
        <v>-3.04</v>
      </c>
      <c r="BX34" t="s">
        <v>15</v>
      </c>
      <c r="BY34" t="s">
        <v>16</v>
      </c>
      <c r="BZ34" t="s">
        <v>18</v>
      </c>
      <c r="CA34" t="s">
        <v>17</v>
      </c>
      <c r="CB34" t="s">
        <v>20</v>
      </c>
      <c r="CD34" t="s">
        <v>15</v>
      </c>
      <c r="CE34" t="s">
        <v>16</v>
      </c>
      <c r="CF34" t="s">
        <v>18</v>
      </c>
      <c r="CG34" t="s">
        <v>17</v>
      </c>
      <c r="CH34" t="s">
        <v>20</v>
      </c>
      <c r="CJ34" t="s">
        <v>15</v>
      </c>
      <c r="CK34" t="s">
        <v>16</v>
      </c>
      <c r="CL34" t="s">
        <v>18</v>
      </c>
      <c r="CM34" t="s">
        <v>17</v>
      </c>
      <c r="CN34" t="s">
        <v>20</v>
      </c>
      <c r="CP34" t="s">
        <v>15</v>
      </c>
      <c r="CQ34" t="s">
        <v>16</v>
      </c>
      <c r="CR34" t="s">
        <v>18</v>
      </c>
      <c r="CS34" t="s">
        <v>17</v>
      </c>
      <c r="CT34" t="s">
        <v>20</v>
      </c>
      <c r="CV34" t="s">
        <v>15</v>
      </c>
      <c r="CW34" t="s">
        <v>16</v>
      </c>
      <c r="CX34" t="s">
        <v>18</v>
      </c>
      <c r="CY34" t="s">
        <v>17</v>
      </c>
      <c r="CZ34" t="s">
        <v>20</v>
      </c>
      <c r="DB34" t="s">
        <v>15</v>
      </c>
      <c r="DC34" t="s">
        <v>16</v>
      </c>
      <c r="DD34" t="s">
        <v>18</v>
      </c>
      <c r="DE34" t="s">
        <v>17</v>
      </c>
      <c r="DF34" t="s">
        <v>20</v>
      </c>
    </row>
    <row r="35" spans="3:110" x14ac:dyDescent="0.25">
      <c r="C35" t="s">
        <v>33</v>
      </c>
      <c r="G35" s="3">
        <v>1</v>
      </c>
      <c r="H35" t="s">
        <v>11</v>
      </c>
      <c r="I35">
        <f>C6</f>
        <v>-3.04</v>
      </c>
      <c r="O35">
        <f>I35</f>
        <v>-3.04</v>
      </c>
      <c r="U35">
        <f>O35</f>
        <v>-3.04</v>
      </c>
      <c r="AA35">
        <f>U36</f>
        <v>-16.12</v>
      </c>
      <c r="AG35">
        <f>AA36</f>
        <v>38.630000000000003</v>
      </c>
      <c r="AM35">
        <f>AG34</f>
        <v>-16.12</v>
      </c>
      <c r="AS35">
        <f t="shared" si="1"/>
        <v>38.630000000000003</v>
      </c>
      <c r="AY35">
        <f>AS34</f>
        <v>-16.12</v>
      </c>
      <c r="BE35">
        <f>AY36</f>
        <v>38.630000000000003</v>
      </c>
      <c r="BK35">
        <f t="shared" si="0"/>
        <v>5.0999999999999996</v>
      </c>
      <c r="BQ35">
        <f t="shared" si="2"/>
        <v>38.630000000000003</v>
      </c>
      <c r="BW35">
        <f t="shared" ref="BW35:BW36" si="3">BQ34</f>
        <v>-16.12</v>
      </c>
      <c r="CC35">
        <f>BW34</f>
        <v>-3.04</v>
      </c>
      <c r="CI35">
        <f>CC35</f>
        <v>-3.04</v>
      </c>
      <c r="CO35">
        <f>CI35</f>
        <v>-3.04</v>
      </c>
      <c r="CU35">
        <f>CO35</f>
        <v>-3.04</v>
      </c>
      <c r="DA35">
        <f>CU35</f>
        <v>-3.04</v>
      </c>
    </row>
    <row r="36" spans="3:110" x14ac:dyDescent="0.25">
      <c r="C36" t="s">
        <v>34</v>
      </c>
      <c r="G36" s="3">
        <v>2</v>
      </c>
      <c r="H36" t="s">
        <v>12</v>
      </c>
      <c r="I36" s="2">
        <f>C7</f>
        <v>-7.46</v>
      </c>
      <c r="O36" s="2">
        <f>I37</f>
        <v>5.0999999999999996</v>
      </c>
      <c r="U36" s="2">
        <f>O37</f>
        <v>-16.12</v>
      </c>
      <c r="AA36" s="2">
        <f>U37</f>
        <v>38.630000000000003</v>
      </c>
      <c r="AG36" s="2">
        <f>AA37</f>
        <v>26.17</v>
      </c>
      <c r="AM36">
        <f>AG35</f>
        <v>38.630000000000003</v>
      </c>
      <c r="AS36" s="2">
        <f t="shared" si="1"/>
        <v>38.630000000000003</v>
      </c>
      <c r="AY36">
        <f>AS35</f>
        <v>38.630000000000003</v>
      </c>
      <c r="BE36">
        <f>AY37</f>
        <v>5.0999999999999996</v>
      </c>
      <c r="BK36" s="2">
        <f t="shared" si="0"/>
        <v>15.56</v>
      </c>
      <c r="BQ36" s="2">
        <f t="shared" si="2"/>
        <v>5.0999999999999996</v>
      </c>
      <c r="BW36" s="2">
        <f t="shared" si="3"/>
        <v>38.630000000000003</v>
      </c>
      <c r="CC36" s="2">
        <f>BW35</f>
        <v>-16.12</v>
      </c>
      <c r="CI36" s="2">
        <f>CC37</f>
        <v>-37.82</v>
      </c>
      <c r="CO36" s="2">
        <f>CI37</f>
        <v>26.81</v>
      </c>
      <c r="CU36" s="2">
        <f>CO37</f>
        <v>-37.82</v>
      </c>
      <c r="DA36" s="2">
        <f>CU37</f>
        <v>26.81</v>
      </c>
    </row>
    <row r="37" spans="3:110" x14ac:dyDescent="0.25">
      <c r="C37" t="s">
        <v>35</v>
      </c>
      <c r="G37" s="8">
        <v>3</v>
      </c>
      <c r="H37" t="s">
        <v>13</v>
      </c>
      <c r="I37">
        <f>C8</f>
        <v>5.0999999999999996</v>
      </c>
      <c r="O37">
        <f>C9</f>
        <v>-16.12</v>
      </c>
      <c r="U37">
        <f>C10</f>
        <v>38.630000000000003</v>
      </c>
      <c r="AA37">
        <f>C11</f>
        <v>26.17</v>
      </c>
      <c r="AG37">
        <f>C12</f>
        <v>38.630000000000003</v>
      </c>
      <c r="AM37">
        <f>AG37</f>
        <v>38.630000000000003</v>
      </c>
      <c r="AS37">
        <f>C13</f>
        <v>5.0999999999999996</v>
      </c>
      <c r="AY37">
        <f>AS37</f>
        <v>5.0999999999999996</v>
      </c>
      <c r="BE37">
        <f>C14</f>
        <v>15.56</v>
      </c>
      <c r="BK37">
        <f>C15</f>
        <v>-37.82</v>
      </c>
      <c r="BQ37">
        <f>BK37</f>
        <v>-37.82</v>
      </c>
      <c r="BW37">
        <f>BQ37</f>
        <v>-37.82</v>
      </c>
      <c r="CC37">
        <f>BW37</f>
        <v>-37.82</v>
      </c>
      <c r="CI37">
        <f>C16</f>
        <v>26.81</v>
      </c>
      <c r="CO37">
        <f>C17</f>
        <v>-37.82</v>
      </c>
      <c r="CU37">
        <f>C18</f>
        <v>26.81</v>
      </c>
      <c r="DA37">
        <f>C19</f>
        <v>17.670000000000002</v>
      </c>
    </row>
    <row r="38" spans="3:110" x14ac:dyDescent="0.25">
      <c r="G38" s="9">
        <v>4</v>
      </c>
      <c r="H38" t="s">
        <v>14</v>
      </c>
      <c r="J38">
        <f>ABS(I36-I37)</f>
        <v>12.559999999999999</v>
      </c>
      <c r="K38">
        <f>ABS(I35-I36)</f>
        <v>4.42</v>
      </c>
      <c r="L38" t="str">
        <f>IF(ABS(J38)&gt;=ABS(K38),"цикл","неЗамкн")</f>
        <v>цикл</v>
      </c>
      <c r="M38">
        <f>ABS(I36-I35)</f>
        <v>4.42</v>
      </c>
      <c r="N38">
        <f>AVERAGE(I35:I36)</f>
        <v>-5.25</v>
      </c>
      <c r="P38">
        <f>ABS(O36-O37)</f>
        <v>21.22</v>
      </c>
      <c r="Q38">
        <f>ABS(O35-O36)</f>
        <v>8.14</v>
      </c>
      <c r="R38" t="str">
        <f>IF(ABS(P38)&gt;=ABS(Q38),"цикл","неЗамкн")</f>
        <v>цикл</v>
      </c>
      <c r="S38">
        <f>ABS(O36-O35)</f>
        <v>8.14</v>
      </c>
      <c r="T38">
        <f>AVERAGE(O35:O36)</f>
        <v>1.0299999999999998</v>
      </c>
      <c r="V38">
        <f>ABS(U36-U37)</f>
        <v>54.75</v>
      </c>
      <c r="W38">
        <f>ABS(U35-U36)</f>
        <v>13.080000000000002</v>
      </c>
      <c r="X38" t="str">
        <f>IF(ABS(V38)&gt;=ABS(W38),"цикл","неЗамкн")</f>
        <v>цикл</v>
      </c>
      <c r="Y38">
        <f>ABS(U36-U35)</f>
        <v>13.080000000000002</v>
      </c>
      <c r="Z38">
        <f>AVERAGE(U35:U36)</f>
        <v>-9.58</v>
      </c>
      <c r="AB38">
        <f>ABS(AA36-AA37)</f>
        <v>12.46</v>
      </c>
      <c r="AC38">
        <f>ABS(AA35-AA36)</f>
        <v>54.75</v>
      </c>
      <c r="AD38" t="str">
        <f>IF(ABS(AB38)&gt;=ABS(AC38),"цикл","неЗамкн")</f>
        <v>неЗамкн</v>
      </c>
      <c r="AE38">
        <f>ABS(AA36-AA35)</f>
        <v>54.75</v>
      </c>
      <c r="AF38">
        <f>AVERAGE(AA35:AA36)</f>
        <v>11.255000000000001</v>
      </c>
      <c r="AH38">
        <f>ABS(AG36-AG37)</f>
        <v>12.46</v>
      </c>
      <c r="AI38">
        <f>ABS(AG35-AG36)</f>
        <v>12.46</v>
      </c>
      <c r="AJ38" t="str">
        <f>IF(ABS(AH38)&gt;=ABS(AI38),"цикл","неЗамкн")</f>
        <v>цикл</v>
      </c>
      <c r="AK38">
        <f>ABS(AG36-AG35)</f>
        <v>12.46</v>
      </c>
      <c r="AL38">
        <f>AVERAGE(AG35:AG36)</f>
        <v>32.400000000000006</v>
      </c>
      <c r="AN38">
        <f>ABS(AM36-AM37)</f>
        <v>0</v>
      </c>
      <c r="AO38">
        <f>ABS(AM35-AM36)</f>
        <v>54.75</v>
      </c>
      <c r="AP38" t="str">
        <f>IF(ABS(AN38)&gt;=ABS(AO38),"цикл","неЗамкн")</f>
        <v>неЗамкн</v>
      </c>
      <c r="AQ38">
        <f>ABS(AM36-AM35)</f>
        <v>54.75</v>
      </c>
      <c r="AR38">
        <f>AVERAGE(AM35:AM36)</f>
        <v>11.255000000000001</v>
      </c>
      <c r="AT38">
        <f>ABS(AS36-AS37)</f>
        <v>33.53</v>
      </c>
      <c r="AU38">
        <f>ABS(AS35-AS36)</f>
        <v>0</v>
      </c>
      <c r="AV38" t="str">
        <f>IF(ABS(AT38)&gt;=ABS(AU38),"цикл","неЗамкн")</f>
        <v>цикл</v>
      </c>
      <c r="AW38">
        <f>ABS(AS36-AS35)</f>
        <v>0</v>
      </c>
      <c r="AX38">
        <f>AVERAGE(AS35:AS36)</f>
        <v>38.630000000000003</v>
      </c>
      <c r="AZ38">
        <f>ABS(AY36-AY37)</f>
        <v>33.53</v>
      </c>
      <c r="BA38">
        <f>ABS(AY35-AY36)</f>
        <v>54.75</v>
      </c>
      <c r="BB38" t="str">
        <f>IF(ABS(AZ38)&gt;=ABS(BA38),"цикл","неЗамкн")</f>
        <v>неЗамкн</v>
      </c>
      <c r="BC38">
        <f>ABS(AY36-AY35)</f>
        <v>54.75</v>
      </c>
      <c r="BD38">
        <f>AVERAGE(AY35:AY36)</f>
        <v>11.255000000000001</v>
      </c>
      <c r="BF38">
        <f>ABS(BE36-BE37)</f>
        <v>10.46</v>
      </c>
      <c r="BG38">
        <f>ABS(BE35-BE36)</f>
        <v>33.53</v>
      </c>
      <c r="BH38" t="str">
        <f>IF(ABS(BF38)&gt;=ABS(BG38),"цикл","неЗамкн")</f>
        <v>неЗамкн</v>
      </c>
      <c r="BI38">
        <f>ABS(BE36-BE35)</f>
        <v>33.53</v>
      </c>
      <c r="BJ38">
        <f>AVERAGE(BE35:BE36)</f>
        <v>21.865000000000002</v>
      </c>
      <c r="BL38">
        <f>ABS(BK36-BK37)</f>
        <v>53.38</v>
      </c>
      <c r="BM38">
        <f>ABS(BK35-BK36)</f>
        <v>10.46</v>
      </c>
      <c r="BN38" t="str">
        <f>IF(ABS(BL38)&gt;=ABS(BM38),"цикл","неЗамкн")</f>
        <v>цикл</v>
      </c>
      <c r="BO38">
        <f>ABS(BK36-BK35)</f>
        <v>10.46</v>
      </c>
      <c r="BP38">
        <f>AVERAGE(BK35:BK36)</f>
        <v>10.33</v>
      </c>
      <c r="BR38">
        <f>ABS(BQ36-BQ37)</f>
        <v>42.92</v>
      </c>
      <c r="BS38">
        <f>ABS(BQ35-BQ36)</f>
        <v>33.53</v>
      </c>
      <c r="BT38" t="str">
        <f>IF(ABS(BR38)&gt;=ABS(BS38),"цикл","неЗамкн")</f>
        <v>цикл</v>
      </c>
      <c r="BU38">
        <f>ABS(BQ36-BQ35)</f>
        <v>33.53</v>
      </c>
      <c r="BV38">
        <f>AVERAGE(BQ35:BQ36)</f>
        <v>21.865000000000002</v>
      </c>
      <c r="BX38">
        <f>ABS(BW36-BW37)</f>
        <v>76.45</v>
      </c>
      <c r="BY38">
        <f>ABS(BW35-BW36)</f>
        <v>54.75</v>
      </c>
      <c r="BZ38" t="str">
        <f>IF(ABS(BX38)&gt;=ABS(BY38),"цикл","неЗамкн")</f>
        <v>цикл</v>
      </c>
      <c r="CA38">
        <f>ABS(BW36-BW35)</f>
        <v>54.75</v>
      </c>
      <c r="CB38">
        <f>AVERAGE(BW35:BW36)</f>
        <v>11.255000000000001</v>
      </c>
      <c r="CD38">
        <f>ABS(CC36-CC37)</f>
        <v>21.7</v>
      </c>
      <c r="CE38">
        <f>ABS(CC35-CC36)</f>
        <v>13.080000000000002</v>
      </c>
      <c r="CF38" t="str">
        <f>IF(ABS(CD38)&gt;=ABS(CE38),"цикл","неЗамкн")</f>
        <v>цикл</v>
      </c>
      <c r="CG38">
        <f>ABS(CC36-CC35)</f>
        <v>13.080000000000002</v>
      </c>
      <c r="CH38">
        <f>AVERAGE(CC35:CC36)</f>
        <v>-9.58</v>
      </c>
      <c r="CJ38">
        <f>ABS(CI36-CI37)</f>
        <v>64.63</v>
      </c>
      <c r="CK38">
        <f>ABS(CI35-CI36)</f>
        <v>34.78</v>
      </c>
      <c r="CL38" t="str">
        <f>IF(ABS(CJ38)&gt;=ABS(CK38),"цикл","неЗамкн")</f>
        <v>цикл</v>
      </c>
      <c r="CM38">
        <f>ABS(CI36-CI35)</f>
        <v>34.78</v>
      </c>
      <c r="CN38">
        <f>AVERAGE(CI35:CI36)</f>
        <v>-20.43</v>
      </c>
      <c r="CP38">
        <f>ABS(CO36-CO37)</f>
        <v>64.63</v>
      </c>
      <c r="CQ38">
        <f>ABS(CO35-CO36)</f>
        <v>29.849999999999998</v>
      </c>
      <c r="CR38" t="str">
        <f>IF(ABS(CP38)&gt;=ABS(CQ38),"цикл","неЗамкн")</f>
        <v>цикл</v>
      </c>
      <c r="CS38">
        <f>ABS(CO36-CO35)</f>
        <v>29.849999999999998</v>
      </c>
      <c r="CT38">
        <f>AVERAGE(CO35:CO36)</f>
        <v>11.885</v>
      </c>
      <c r="CV38">
        <f>ABS(CU36-CU37)</f>
        <v>64.63</v>
      </c>
      <c r="CW38">
        <f>ABS(CU35-CU36)</f>
        <v>34.78</v>
      </c>
      <c r="CX38" t="str">
        <f>IF(ABS(CV38)&gt;=ABS(CW38),"цикл","неЗамкн")</f>
        <v>цикл</v>
      </c>
      <c r="CY38">
        <f>ABS(CU36-CU35)</f>
        <v>34.78</v>
      </c>
      <c r="CZ38">
        <f>AVERAGE(CU35:CU36)</f>
        <v>-20.43</v>
      </c>
      <c r="DB38">
        <f>ABS(DA36-DA37)</f>
        <v>9.139999999999997</v>
      </c>
      <c r="DC38">
        <f>ABS(DA35-DA36)</f>
        <v>29.849999999999998</v>
      </c>
      <c r="DD38" t="str">
        <f>IF(ABS(DB38)&gt;=ABS(DC38),"цикл","неЗамкн")</f>
        <v>неЗамкн</v>
      </c>
      <c r="DE38">
        <f>ABS(DA36-DA35)</f>
        <v>29.849999999999998</v>
      </c>
      <c r="DF38">
        <f>AVERAGE(DA35:DA36)</f>
        <v>11.885</v>
      </c>
    </row>
    <row r="40" spans="3:110" x14ac:dyDescent="0.25">
      <c r="G40" t="s">
        <v>36</v>
      </c>
      <c r="I40">
        <v>3</v>
      </c>
      <c r="O40">
        <v>4</v>
      </c>
      <c r="U40">
        <v>5</v>
      </c>
      <c r="AA40">
        <v>6</v>
      </c>
      <c r="AG40">
        <v>7</v>
      </c>
      <c r="AM40">
        <v>7</v>
      </c>
      <c r="AS40">
        <v>8</v>
      </c>
      <c r="BE40">
        <v>9</v>
      </c>
      <c r="BK40">
        <v>10</v>
      </c>
      <c r="CI40">
        <v>11</v>
      </c>
      <c r="CO40">
        <v>12</v>
      </c>
      <c r="CU40">
        <v>13</v>
      </c>
      <c r="DA40">
        <v>14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B2:S8"/>
  <sheetViews>
    <sheetView workbookViewId="0">
      <selection activeCell="N16" sqref="N16"/>
    </sheetView>
  </sheetViews>
  <sheetFormatPr defaultRowHeight="15" x14ac:dyDescent="0.25"/>
  <sheetData>
    <row r="2" spans="2:19" x14ac:dyDescent="0.25">
      <c r="G2" s="10"/>
      <c r="H2" s="10" t="s">
        <v>29</v>
      </c>
      <c r="I2" s="10" t="s">
        <v>30</v>
      </c>
      <c r="L2" s="10" t="s">
        <v>29</v>
      </c>
      <c r="M2" s="10" t="s">
        <v>30</v>
      </c>
      <c r="O2">
        <v>0</v>
      </c>
      <c r="P2" s="10" t="s">
        <v>29</v>
      </c>
      <c r="Q2" s="10" t="s">
        <v>30</v>
      </c>
    </row>
    <row r="3" spans="2:19" x14ac:dyDescent="0.25">
      <c r="B3">
        <v>1</v>
      </c>
      <c r="C3">
        <v>0</v>
      </c>
      <c r="F3" t="s">
        <v>11</v>
      </c>
      <c r="G3" s="10">
        <v>0</v>
      </c>
      <c r="H3" s="10"/>
      <c r="I3" s="10"/>
      <c r="K3">
        <v>0</v>
      </c>
      <c r="L3" s="10"/>
      <c r="M3" s="10"/>
      <c r="O3">
        <v>20</v>
      </c>
      <c r="P3" s="10"/>
      <c r="Q3" s="10"/>
      <c r="S3">
        <v>0</v>
      </c>
    </row>
    <row r="4" spans="2:19" x14ac:dyDescent="0.25">
      <c r="B4">
        <v>2</v>
      </c>
      <c r="C4">
        <v>100</v>
      </c>
      <c r="F4" t="s">
        <v>12</v>
      </c>
      <c r="G4" s="10">
        <v>100</v>
      </c>
      <c r="H4" s="10"/>
      <c r="I4" s="10"/>
      <c r="K4">
        <v>20</v>
      </c>
      <c r="L4" s="10"/>
      <c r="M4" s="10"/>
      <c r="O4">
        <v>150</v>
      </c>
      <c r="P4" s="10"/>
      <c r="Q4" s="10"/>
      <c r="S4">
        <v>20</v>
      </c>
    </row>
    <row r="5" spans="2:19" x14ac:dyDescent="0.25">
      <c r="B5">
        <v>3</v>
      </c>
      <c r="C5">
        <v>20</v>
      </c>
      <c r="F5" t="s">
        <v>13</v>
      </c>
      <c r="G5" s="10">
        <v>20</v>
      </c>
      <c r="H5" s="10"/>
      <c r="I5" s="10"/>
      <c r="K5">
        <v>150</v>
      </c>
      <c r="L5" s="10"/>
      <c r="M5" s="10"/>
      <c r="O5">
        <v>50</v>
      </c>
      <c r="P5" s="10"/>
      <c r="Q5" s="10"/>
      <c r="S5">
        <v>50</v>
      </c>
    </row>
    <row r="6" spans="2:19" x14ac:dyDescent="0.25">
      <c r="B6">
        <v>4</v>
      </c>
      <c r="C6">
        <v>150</v>
      </c>
      <c r="F6" t="s">
        <v>14</v>
      </c>
      <c r="G6" s="10"/>
      <c r="H6" s="10">
        <f>ABS(G3-G4)</f>
        <v>100</v>
      </c>
      <c r="I6" s="10">
        <f>ABS(G5-G4)</f>
        <v>80</v>
      </c>
      <c r="J6" t="str">
        <f>IF(H6&gt;I6,"цикл","неЗамкн")</f>
        <v>цикл</v>
      </c>
      <c r="L6" s="10">
        <f>ABS(K3-K4)</f>
        <v>20</v>
      </c>
      <c r="M6" s="10">
        <f>ABS(K5-K4)</f>
        <v>130</v>
      </c>
      <c r="N6" t="str">
        <f>IF(L6&gt;M6,"цикл","неЗамкн")</f>
        <v>неЗамкн</v>
      </c>
      <c r="P6" s="10">
        <f>ABS(O3-O4)</f>
        <v>130</v>
      </c>
      <c r="Q6" s="10">
        <f>ABS(O5-O4)</f>
        <v>100</v>
      </c>
      <c r="R6" t="str">
        <f>IF(P6&gt;Q6,"цикл","неЗамкн")</f>
        <v>цикл</v>
      </c>
    </row>
    <row r="7" spans="2:19" x14ac:dyDescent="0.25">
      <c r="B7">
        <v>5</v>
      </c>
      <c r="C7">
        <v>50</v>
      </c>
    </row>
    <row r="8" spans="2:19" x14ac:dyDescent="0.25">
      <c r="B8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Afonin</cp:lastModifiedBy>
  <dcterms:created xsi:type="dcterms:W3CDTF">2026-04-17T07:38:00Z</dcterms:created>
  <dcterms:modified xsi:type="dcterms:W3CDTF">2026-08-12T13:32:26Z</dcterms:modified>
</cp:coreProperties>
</file>